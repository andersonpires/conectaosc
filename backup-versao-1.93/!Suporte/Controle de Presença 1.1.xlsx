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c770e43fadf586b/!Anderson/!DEV/Softvideos/htdocs/conectaosc/!Suporte/"/>
    </mc:Choice>
  </mc:AlternateContent>
  <xr:revisionPtr revIDLastSave="5" documentId="8_{C45244F9-542D-4737-A210-4BA68E050462}" xr6:coauthVersionLast="47" xr6:coauthVersionMax="47" xr10:uidLastSave="{9519A6E1-4AA5-4048-8492-612446841E26}"/>
  <bookViews>
    <workbookView xWindow="-120" yWindow="-120" windowWidth="29040" windowHeight="15840" firstSheet="2" activeTab="2" xr2:uid="{00000000-000D-0000-FFFF-FFFF00000000}"/>
  </bookViews>
  <sheets>
    <sheet name="Controle de Presençasaa" sheetId="1" state="hidden" r:id="rId1"/>
    <sheet name="Gerals" sheetId="3" state="hidden" r:id="rId2"/>
    <sheet name="Controle ITEVA" sheetId="5" r:id="rId3"/>
    <sheet name="Controle Santo Antonio" sheetId="10" r:id="rId4"/>
  </sheets>
  <definedNames>
    <definedName name="_xlnm._FilterDatabase" localSheetId="0" hidden="1">'Controle de Presençasaa'!$A$1:$S$115</definedName>
    <definedName name="_xlnm._FilterDatabase" localSheetId="2" hidden="1">'Controle ITEVA'!$A$1:$AH$162</definedName>
    <definedName name="_xlnm._FilterDatabase" localSheetId="3" hidden="1">'Controle Santo Antonio'!$A$1:$X$33</definedName>
    <definedName name="_xlnm._FilterDatabase" localSheetId="1" hidden="1">Gerals!$A$1:$AL$122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8" i="10" l="1"/>
  <c r="AD176" i="5"/>
  <c r="X175" i="5"/>
  <c r="W175" i="5"/>
  <c r="AD3" i="5" l="1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33" i="5"/>
  <c r="O134" i="5"/>
  <c r="O135" i="5"/>
  <c r="O136" i="5"/>
  <c r="O137" i="5"/>
  <c r="O138" i="5"/>
  <c r="O139" i="5"/>
  <c r="O154" i="5"/>
  <c r="O155" i="5"/>
  <c r="O156" i="5"/>
  <c r="O157" i="5"/>
  <c r="O158" i="5"/>
  <c r="O159" i="5"/>
  <c r="O160" i="5"/>
  <c r="O161" i="5"/>
  <c r="O162" i="5"/>
  <c r="Q38" i="10"/>
  <c r="R38" i="10"/>
  <c r="T38" i="10"/>
  <c r="U38" i="10"/>
  <c r="V38" i="10"/>
  <c r="W38" i="10"/>
  <c r="P38" i="10"/>
  <c r="X2" i="10"/>
  <c r="X39" i="10"/>
  <c r="X33" i="10"/>
  <c r="X32" i="10"/>
  <c r="X31" i="10"/>
  <c r="X30" i="10"/>
  <c r="X29" i="10"/>
  <c r="X28" i="10"/>
  <c r="X27" i="10"/>
  <c r="X26" i="10"/>
  <c r="X25" i="10"/>
  <c r="X24" i="10"/>
  <c r="X23" i="10"/>
  <c r="X22" i="10"/>
  <c r="X21" i="10"/>
  <c r="X20" i="10"/>
  <c r="X19" i="10"/>
  <c r="X18" i="10"/>
  <c r="X17" i="10"/>
  <c r="X16" i="10"/>
  <c r="X15" i="10"/>
  <c r="X14" i="10"/>
  <c r="X13" i="10"/>
  <c r="X12" i="10"/>
  <c r="X11" i="10"/>
  <c r="X10" i="10"/>
  <c r="X9" i="10"/>
  <c r="X8" i="10"/>
  <c r="X7" i="10"/>
  <c r="X6" i="10"/>
  <c r="X5" i="10"/>
  <c r="X4" i="10"/>
  <c r="X3" i="10"/>
  <c r="AD177" i="5" l="1"/>
  <c r="AD178" i="5" s="1"/>
  <c r="X40" i="10"/>
  <c r="X41" i="10" s="1"/>
  <c r="P175" i="5"/>
  <c r="U177" i="5"/>
  <c r="U176" i="5"/>
  <c r="T175" i="5"/>
  <c r="O176" i="5"/>
  <c r="AC175" i="5"/>
  <c r="AB175" i="5"/>
  <c r="AA175" i="5"/>
  <c r="Z175" i="5"/>
  <c r="Y175" i="5"/>
  <c r="V175" i="5"/>
  <c r="Q175" i="5" l="1"/>
  <c r="R175" i="5"/>
  <c r="S175" i="5"/>
  <c r="G175" i="5"/>
  <c r="H175" i="5"/>
  <c r="I175" i="5"/>
  <c r="J175" i="5"/>
  <c r="K175" i="5"/>
  <c r="L175" i="5"/>
  <c r="M175" i="5"/>
  <c r="N175" i="5"/>
  <c r="F175" i="5"/>
  <c r="O2" i="5"/>
  <c r="U178" i="5" l="1"/>
  <c r="AE54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AE120" i="3"/>
  <c r="AE86" i="3"/>
  <c r="AC119" i="3"/>
  <c r="AE10" i="3"/>
  <c r="AE18" i="3"/>
  <c r="AE9" i="3"/>
  <c r="AE17" i="3"/>
  <c r="AE7" i="3"/>
  <c r="AE4" i="3"/>
  <c r="AE12" i="3"/>
  <c r="AE15" i="3"/>
  <c r="AE16" i="3"/>
  <c r="AE2" i="3"/>
  <c r="AE3" i="3"/>
  <c r="AE5" i="3"/>
  <c r="AE6" i="3"/>
  <c r="AE8" i="3"/>
  <c r="AE11" i="3"/>
  <c r="AE13" i="3"/>
  <c r="AE14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7" i="3"/>
  <c r="AE89" i="3"/>
  <c r="AE90" i="3"/>
  <c r="AE91" i="3"/>
  <c r="AE92" i="3"/>
  <c r="AE93" i="3"/>
  <c r="AE94" i="3"/>
  <c r="AE95" i="3"/>
  <c r="AE96" i="3"/>
  <c r="AE97" i="3"/>
  <c r="AE98" i="3"/>
  <c r="AE99" i="3"/>
  <c r="AE101" i="3"/>
  <c r="AE102" i="3"/>
  <c r="AE103" i="3"/>
  <c r="AE104" i="3"/>
  <c r="AE105" i="3"/>
  <c r="AE106" i="3"/>
  <c r="AE108" i="3"/>
  <c r="AE109" i="3"/>
  <c r="AE110" i="3"/>
  <c r="AE111" i="3"/>
  <c r="AE112" i="3"/>
  <c r="AE113" i="3"/>
  <c r="AE114" i="3"/>
  <c r="AE115" i="3"/>
  <c r="AE116" i="3"/>
  <c r="AE117" i="3"/>
  <c r="AE118" i="3"/>
  <c r="AB119" i="3"/>
  <c r="Z119" i="3"/>
  <c r="AA119" i="3"/>
  <c r="Q119" i="3"/>
  <c r="R119" i="3"/>
  <c r="S119" i="3"/>
  <c r="T119" i="3"/>
  <c r="U119" i="3"/>
  <c r="V119" i="3"/>
  <c r="W119" i="3"/>
  <c r="X119" i="3"/>
  <c r="P119" i="3"/>
  <c r="O177" i="5" l="1"/>
  <c r="O178" i="5" s="1"/>
  <c r="Y120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115" i="3"/>
  <c r="Y116" i="3"/>
  <c r="Y117" i="3"/>
  <c r="Y118" i="3"/>
  <c r="Y121" i="3" l="1"/>
  <c r="AE121" i="3"/>
  <c r="AE122" i="3" s="1"/>
  <c r="Y1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 05</author>
  </authors>
  <commentList>
    <comment ref="E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AL 05:</t>
        </r>
        <r>
          <rPr>
            <sz val="9"/>
            <color indexed="81"/>
            <rFont val="Segoe UI"/>
            <family val="2"/>
          </rPr>
          <t xml:space="preserve">
Dia 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Computador Iteva</author>
  </authors>
  <commentList>
    <comment ref="F9" authorId="0" shapeId="0" xr:uid="{00000000-0006-0000-0100-000001000000}">
      <text>
        <r>
          <rPr>
            <sz val="9"/>
            <color indexed="81"/>
            <rFont val="Segoe UI"/>
            <family val="2"/>
          </rPr>
          <t xml:space="preserve">FALTA ALGUNS DADOS 
</t>
        </r>
      </text>
    </comment>
    <comment ref="N9" authorId="0" shapeId="0" xr:uid="{00000000-0006-0000-0100-000002000000}">
      <text>
        <r>
          <rPr>
            <sz val="9"/>
            <color indexed="81"/>
            <rFont val="Segoe UI"/>
            <family val="2"/>
          </rPr>
          <t xml:space="preserve">FALTA PERÍMETRO BRAQUIAL E PERNA 
</t>
        </r>
      </text>
    </comment>
    <comment ref="N31" authorId="0" shapeId="0" xr:uid="{00000000-0006-0000-0100-000003000000}">
      <text>
        <r>
          <rPr>
            <sz val="9"/>
            <color indexed="81"/>
            <rFont val="Segoe UI"/>
            <family val="2"/>
          </rPr>
          <t xml:space="preserve">FALTA PERÍMETRO BRAQUIAL E PERNA 
</t>
        </r>
      </text>
    </comment>
    <comment ref="K44" authorId="0" shapeId="0" xr:uid="{00000000-0006-0000-0100-000004000000}">
      <text>
        <r>
          <rPr>
            <sz val="9"/>
            <color indexed="81"/>
            <rFont val="Segoe UI"/>
            <family val="2"/>
          </rPr>
          <t xml:space="preserve">FALTA ASSINATURA 
</t>
        </r>
      </text>
    </comment>
    <comment ref="N44" authorId="0" shapeId="0" xr:uid="{00000000-0006-0000-0100-000005000000}">
      <text>
        <r>
          <rPr>
            <sz val="9"/>
            <color indexed="81"/>
            <rFont val="Segoe UI"/>
            <family val="2"/>
          </rPr>
          <t xml:space="preserve">FALTA PERÍMETRO BRAQUIAL E PERNA 
</t>
        </r>
      </text>
    </comment>
    <comment ref="K60" authorId="0" shapeId="0" xr:uid="{00000000-0006-0000-0100-000006000000}">
      <text>
        <r>
          <rPr>
            <sz val="9"/>
            <color indexed="81"/>
            <rFont val="Segoe UI"/>
            <family val="2"/>
          </rPr>
          <t xml:space="preserve">FALTA ASSINATURA
</t>
        </r>
      </text>
    </comment>
    <comment ref="G90" authorId="0" shapeId="0" xr:uid="{00000000-0006-0000-0100-000007000000}">
      <text>
        <r>
          <rPr>
            <sz val="9"/>
            <color indexed="81"/>
            <rFont val="Segoe UI"/>
            <family val="2"/>
          </rPr>
          <t xml:space="preserve">faltou no dia 03/12
</t>
        </r>
      </text>
    </comment>
    <comment ref="E99" authorId="0" shapeId="0" xr:uid="{00000000-0006-0000-0100-000008000000}">
      <text>
        <r>
          <rPr>
            <sz val="9"/>
            <color indexed="81"/>
            <rFont val="Segoe UI"/>
            <family val="2"/>
          </rPr>
          <t xml:space="preserve">INCOMPLETA - FALTA DADOS 
</t>
        </r>
      </text>
    </comment>
    <comment ref="N115" authorId="0" shapeId="0" xr:uid="{00000000-0006-0000-0100-000009000000}">
      <text>
        <r>
          <rPr>
            <sz val="9"/>
            <color indexed="81"/>
            <rFont val="Segoe UI"/>
            <family val="2"/>
          </rPr>
          <t xml:space="preserve">FALTA PERÍMETRO BRAQUIAL E PERNA 
</t>
        </r>
      </text>
    </comment>
  </commentList>
</comments>
</file>

<file path=xl/sharedStrings.xml><?xml version="1.0" encoding="utf-8"?>
<sst xmlns="http://schemas.openxmlformats.org/spreadsheetml/2006/main" count="7767" uniqueCount="297">
  <si>
    <t xml:space="preserve">NOMES DOS ALUNOS </t>
  </si>
  <si>
    <t>CONTATO</t>
  </si>
  <si>
    <t>TURMA</t>
  </si>
  <si>
    <t>Turno</t>
  </si>
  <si>
    <t xml:space="preserve"> 23/11</t>
  </si>
  <si>
    <t>LIGAÇÃO</t>
  </si>
  <si>
    <t>Ligação: SARA</t>
  </si>
  <si>
    <t>Observação</t>
  </si>
  <si>
    <t>(Derina) Alderina de Sousa Campina</t>
  </si>
  <si>
    <t>P</t>
  </si>
  <si>
    <t>(Nenêm) Maria Marcolino de Souza</t>
  </si>
  <si>
    <t>TARDE</t>
  </si>
  <si>
    <t>(Renata) Francisca da Frota Magalhães</t>
  </si>
  <si>
    <t>-</t>
  </si>
  <si>
    <t>(Socorro) Maria Cavalcante de Abreu</t>
  </si>
  <si>
    <t>(Valdo) Antônio Manuel Bessa</t>
  </si>
  <si>
    <t>F</t>
  </si>
  <si>
    <t>LIGAR</t>
  </si>
  <si>
    <t>Caixa Postal</t>
  </si>
  <si>
    <t>(Zé Moura) José Lemos de Almeida</t>
  </si>
  <si>
    <t>MANHÃ</t>
  </si>
  <si>
    <t>Faltou Ultima Aula</t>
  </si>
  <si>
    <t>Adriana de Freitas e Sousa</t>
  </si>
  <si>
    <t>FJ</t>
  </si>
  <si>
    <t>Ana Cláudia da Silva</t>
  </si>
  <si>
    <t>Ana Maria Cardoso Boaretto</t>
  </si>
  <si>
    <t>Estava viajando, mas comparecerá a partir do dia 20/01</t>
  </si>
  <si>
    <t>Ana Maria Martins Ferreira</t>
  </si>
  <si>
    <t>SQ-16H</t>
  </si>
  <si>
    <t>Antônia de Fátima Freitas Gadelha</t>
  </si>
  <si>
    <t>Antônia Mendes Miranda</t>
  </si>
  <si>
    <t>Antonia Pereira de Oliveira</t>
  </si>
  <si>
    <t>Não tem telefone</t>
  </si>
  <si>
    <t>Antônio Carlos dos Reis Borges FILHO</t>
  </si>
  <si>
    <t>NA</t>
  </si>
  <si>
    <t>Devido a depressão, não tem conseguido participar. Suzana fará mais uma tentativa</t>
  </si>
  <si>
    <t>Antônio Martins Neto</t>
  </si>
  <si>
    <t>Antônio Roberto Moura de Carvalho</t>
  </si>
  <si>
    <t>Inscrição recente, continuará participando</t>
  </si>
  <si>
    <t>Aurélia Lopes</t>
  </si>
  <si>
    <t>Bernadete Candea Lima</t>
  </si>
  <si>
    <t>Bruno Serci</t>
  </si>
  <si>
    <t>Damiana Ferreira Da Silva</t>
  </si>
  <si>
    <t>Damião Pereira Freitas</t>
  </si>
  <si>
    <t>O horário choca com atv. Bombeiro - a tarde seria melhor</t>
  </si>
  <si>
    <t>Damião Tomaz de Souza</t>
  </si>
  <si>
    <t>Não atende</t>
  </si>
  <si>
    <t>Dionisio da Silva Marques</t>
  </si>
  <si>
    <t>Domingos Oliveira de Negreiros</t>
  </si>
  <si>
    <t>Ecivanda da Silva Duarte</t>
  </si>
  <si>
    <t>Edilene Souza da Silva</t>
  </si>
  <si>
    <t>Eliete Brito Moreira</t>
  </si>
  <si>
    <t>Elizabete Silva de Sousa Marques</t>
  </si>
  <si>
    <t>Confirma continuidade (faltou pq acordou tarde)</t>
  </si>
  <si>
    <t>Ester Ribeiro da Silva</t>
  </si>
  <si>
    <t>Evaneide Ferreira Oliveira</t>
  </si>
  <si>
    <t>Fátima Abreu da Costa Silva</t>
  </si>
  <si>
    <t>Francisca da Silva Souza</t>
  </si>
  <si>
    <t>Francisca de Araújo Lima</t>
  </si>
  <si>
    <t>Francisca de Castro da Silva</t>
  </si>
  <si>
    <t>Francisca Eliene de Freitas</t>
  </si>
  <si>
    <t>Francisca Ivoneide Evangelista</t>
  </si>
  <si>
    <t>Francisca Neuma Santos</t>
  </si>
  <si>
    <t>Francisca Nilda Mourão</t>
  </si>
  <si>
    <t>Francisca Nubia Sousa Freitas</t>
  </si>
  <si>
    <t>Francisca Patrícia Ferreira</t>
  </si>
  <si>
    <t>Francisco de Assis Moreira de Abreu</t>
  </si>
  <si>
    <t>Francisco de Assis Sampaio Brandão</t>
  </si>
  <si>
    <t>Francisco Paulo da Silva</t>
  </si>
  <si>
    <t>ñ atende: 19 / deste numero 9 são ativos</t>
  </si>
  <si>
    <t>Francisco Tobias Pereira</t>
  </si>
  <si>
    <t>Geralda Maria Nascimento de Holanda</t>
  </si>
  <si>
    <t>João Domingos da Silva</t>
  </si>
  <si>
    <t>João Eudes de Holanda</t>
  </si>
  <si>
    <t>falou ñ ter tempo, só que se for o curso do celular</t>
  </si>
  <si>
    <t>João Rodrigues de Miranda</t>
  </si>
  <si>
    <t>Não consegue participar por choque na agenda</t>
  </si>
  <si>
    <t>José dos Santos Cunha</t>
  </si>
  <si>
    <t>José Romoaudo da Silva</t>
  </si>
  <si>
    <t>confirmados: 29</t>
  </si>
  <si>
    <t>José Sergio Gomes da Silva</t>
  </si>
  <si>
    <t xml:space="preserve">Não irá participar por causa de agenda </t>
  </si>
  <si>
    <t>Josefa Santos Sousa</t>
  </si>
  <si>
    <t>Leonice dos Santos Costa</t>
  </si>
  <si>
    <t>Lígia Cecília Gonzaga de Almeida Mendes</t>
  </si>
  <si>
    <t>Não quer particpar, só quer se for o curso do celular (obs: ñ se enquadra)</t>
  </si>
  <si>
    <t>Lilêda Lima dos Santos</t>
  </si>
  <si>
    <t>Liliane Felipe da Silva</t>
  </si>
  <si>
    <t>Telefone não é do Beneficiário</t>
  </si>
  <si>
    <t>Luisa Lusinete</t>
  </si>
  <si>
    <t>Luiz Carlos Borges Braga</t>
  </si>
  <si>
    <t>Maria Alice Torres</t>
  </si>
  <si>
    <t>Telefone não é do beneficiário</t>
  </si>
  <si>
    <t>Maria Aparecida Menezes Ferreira</t>
  </si>
  <si>
    <t>Maria Castro da Silva</t>
  </si>
  <si>
    <t xml:space="preserve"> </t>
  </si>
  <si>
    <t>Maria da Conceição Sampaio</t>
  </si>
  <si>
    <t>Maria da Cruz Negreiros de Oliveira</t>
  </si>
  <si>
    <t>Maria das Graças Moura</t>
  </si>
  <si>
    <t>Maria das Graças Nascimento da Silva</t>
  </si>
  <si>
    <t>Maria das Saúde Negreiros Nogueira</t>
  </si>
  <si>
    <t>Maria de Fátima da Silva</t>
  </si>
  <si>
    <t>ñ vão fazer o curso: 12</t>
  </si>
  <si>
    <t>Maria de Fátima Pereira Pinheiro</t>
  </si>
  <si>
    <t>Maria de Lourdes Oliveira Moura</t>
  </si>
  <si>
    <t>Maria do Carmo da Silva</t>
  </si>
  <si>
    <t>Maria do Socorro Rabelo Bessa</t>
  </si>
  <si>
    <t>Maria Dolores Honório</t>
  </si>
  <si>
    <t>Maria Edna Magalhães Oliveira</t>
  </si>
  <si>
    <t>Maria Eunice Almeida</t>
  </si>
  <si>
    <t>Maria Fernandes da Rocha</t>
  </si>
  <si>
    <t>Maria Glaíde Rufino da Silva</t>
  </si>
  <si>
    <t>Maria Hélia Santos de Assis</t>
  </si>
  <si>
    <t>Maria Iraci Moura de Oliveira</t>
  </si>
  <si>
    <t>Maria José Aquino do Amaral</t>
  </si>
  <si>
    <t>Maria Lucia Cordeiro Sá</t>
  </si>
  <si>
    <t>Maria Marcilene Teixeira Pereira</t>
  </si>
  <si>
    <t>Maria Marlene Souza</t>
  </si>
  <si>
    <t>Maria Nailde Rocha Romaguera</t>
  </si>
  <si>
    <t>Maria Neide da Costa</t>
  </si>
  <si>
    <t>Maria Neuma dos Santos</t>
  </si>
  <si>
    <t xml:space="preserve">Confirmado - Se matricular tambem </t>
  </si>
  <si>
    <t>Maria Sueli Bernardo de Sousa</t>
  </si>
  <si>
    <t>Maria Teixeira de Nascimento</t>
  </si>
  <si>
    <t>Maria Vieira Martins</t>
  </si>
  <si>
    <t>Marilene Costa Lemos</t>
  </si>
  <si>
    <t>Marineide Gomes Silva</t>
  </si>
  <si>
    <t>Mariza de Almeida Romaguera</t>
  </si>
  <si>
    <t>Marizete Camp</t>
  </si>
  <si>
    <t>Marluce Leonardo Carvalho</t>
  </si>
  <si>
    <t>Nislene da Silva Araujo</t>
  </si>
  <si>
    <t>Norma Antônia Bezerra Braga</t>
  </si>
  <si>
    <t>Ozorina Araújo da Silva</t>
  </si>
  <si>
    <t>Paulo Sombra de Abreu</t>
  </si>
  <si>
    <t>Raimunda Alves de Sousa</t>
  </si>
  <si>
    <t>Raimunda Castro Silva</t>
  </si>
  <si>
    <t>Raimunda de Sousa Morais</t>
  </si>
  <si>
    <t>Raimunda Medeiros da Silva</t>
  </si>
  <si>
    <t>Raimundo Gomes de Sousa</t>
  </si>
  <si>
    <t>Raimundo Océlio Baltazar das Chagas</t>
  </si>
  <si>
    <t>Rosângela da Costa Correia</t>
  </si>
  <si>
    <t>Rosilene Lopes da Silva</t>
  </si>
  <si>
    <t>Stefano Di Stefano</t>
  </si>
  <si>
    <t>Susana dos Reis Borges Gentil</t>
  </si>
  <si>
    <t>Tereza da Silva de Oliveira</t>
  </si>
  <si>
    <t>Confirma continuidade na participação</t>
  </si>
  <si>
    <t>Valéria Boaretto Pureza</t>
  </si>
  <si>
    <t>Vanda Lucia Serpa Rocha</t>
  </si>
  <si>
    <t>Vera Lucia Ferreira Gonçalves</t>
  </si>
  <si>
    <t xml:space="preserve">Prefere o Cursos no turno da Tarde </t>
  </si>
  <si>
    <t>Vera Lúcia Moreira Alves</t>
  </si>
  <si>
    <t>Verônica da Silva</t>
  </si>
  <si>
    <t>Zilmar Sombra Abreu</t>
  </si>
  <si>
    <t>INSCRIÇÃO</t>
  </si>
  <si>
    <t>ANAMNESE I</t>
  </si>
  <si>
    <t xml:space="preserve">BIOIMPEDÂNCIA </t>
  </si>
  <si>
    <t>MONITORAMENTO</t>
  </si>
  <si>
    <t>MEDIDAS A.</t>
  </si>
  <si>
    <t>AV. FISIOTERAPÊUTICA</t>
  </si>
  <si>
    <t>ANAMNESE II</t>
  </si>
  <si>
    <t xml:space="preserve">QUALIDADE DE VIDA </t>
  </si>
  <si>
    <t>ANTECEDENTES PESSOAIS</t>
  </si>
  <si>
    <t xml:space="preserve">MNA </t>
  </si>
  <si>
    <t>Atividade</t>
  </si>
  <si>
    <t xml:space="preserve"> Dia D: 23/11/2024</t>
  </si>
  <si>
    <t>Controle</t>
  </si>
  <si>
    <t>Ligação Anterior: JR</t>
  </si>
  <si>
    <t>OK</t>
  </si>
  <si>
    <t>FALTA</t>
  </si>
  <si>
    <t>Ativo</t>
  </si>
  <si>
    <t>confirmada</t>
  </si>
  <si>
    <t>confirmado</t>
  </si>
  <si>
    <t>caixa postal</t>
  </si>
  <si>
    <t>ñ atende</t>
  </si>
  <si>
    <t>ñ tem ficha</t>
  </si>
  <si>
    <t>Dia D</t>
  </si>
  <si>
    <t>Novo</t>
  </si>
  <si>
    <t>mesma questão acima, ver com susana</t>
  </si>
  <si>
    <t>cirurgia, está de repouso por 60 dias</t>
  </si>
  <si>
    <t xml:space="preserve">ñ esta vindo pq machucou o pe no dia da avaliação fisica, mas confirmou presença na confra </t>
  </si>
  <si>
    <t xml:space="preserve">  OK</t>
  </si>
  <si>
    <t>ñ sabia que tinha começado o curso, mas que virá na confra</t>
  </si>
  <si>
    <t>problema de coluna, aguardando cirurgia</t>
  </si>
  <si>
    <t>Pai da samara, fez cirurgia, está afastado por 45 dias</t>
  </si>
  <si>
    <t>está doente e em tratamento, mas disse que em janeiro vem</t>
  </si>
  <si>
    <t>na ficha ñ consta telefone, precisa pegar com ela, está ativa</t>
  </si>
  <si>
    <t xml:space="preserve"> OK</t>
  </si>
  <si>
    <t xml:space="preserve">OK </t>
  </si>
  <si>
    <t>doente</t>
  </si>
  <si>
    <t>?</t>
  </si>
  <si>
    <t xml:space="preserve">Confirmado </t>
  </si>
  <si>
    <t>ñ tem telefone</t>
  </si>
  <si>
    <t>ñ completa a ligação</t>
  </si>
  <si>
    <t>disse que vai vir ano que vem, mas que amanha ñ vem pra confra, mas faz parte do curso do conectividade tarde</t>
  </si>
  <si>
    <t>Maria Odalia Moreira</t>
  </si>
  <si>
    <t xml:space="preserve">Maria Tânia Alves dos Santos	</t>
  </si>
  <si>
    <t>ñ encontrei ficha</t>
  </si>
  <si>
    <t>vai fazer cirurgia no joelho</t>
  </si>
  <si>
    <t>mãe da samara, ñ vai vir, está com o pai doente</t>
  </si>
  <si>
    <t>ñ tem telefone na ficha</t>
  </si>
  <si>
    <t xml:space="preserve">Priscila Oliveira Evangelista	</t>
  </si>
  <si>
    <t>confirmei pessoalmente na aula do conectividade</t>
  </si>
  <si>
    <t xml:space="preserve">Rosa Sabino da Silva	</t>
  </si>
  <si>
    <t>ñ tem tempo, está trabalhando</t>
  </si>
  <si>
    <t>Precisa pegar numero de telefone, na ficha ñ tem</t>
  </si>
  <si>
    <t>Matriculados</t>
  </si>
  <si>
    <t>Faltosos no período</t>
  </si>
  <si>
    <t>Total de presentes no período</t>
  </si>
  <si>
    <t>Local</t>
  </si>
  <si>
    <t xml:space="preserve">Alderina de Sousa Campina (Derina) </t>
  </si>
  <si>
    <t>SQ-7H</t>
  </si>
  <si>
    <t>ITEVA</t>
  </si>
  <si>
    <t xml:space="preserve">Antônia de Morais da Silva	</t>
  </si>
  <si>
    <t>Antonio Airton da Silva</t>
  </si>
  <si>
    <t xml:space="preserve">Francisca da Frota Magalhães (Renata) </t>
  </si>
  <si>
    <t xml:space="preserve">José Lemos de Almeida (Zé Moura) </t>
  </si>
  <si>
    <t xml:space="preserve">Luciana Cláudio da Silva	</t>
  </si>
  <si>
    <t xml:space="preserve">Luzirene Barreira de Sousa	</t>
  </si>
  <si>
    <t xml:space="preserve">Maria Cavalcante de Abreu (Socorro) </t>
  </si>
  <si>
    <t xml:space="preserve">Maria de Lourdes Oliveira da Silva	</t>
  </si>
  <si>
    <t xml:space="preserve">Maria Dolores Honório </t>
  </si>
  <si>
    <t xml:space="preserve">Maria Eliandir de Santana Ribeiro	</t>
  </si>
  <si>
    <t>Maria Gomes dos Reis</t>
  </si>
  <si>
    <t xml:space="preserve">Maria Ivoniza Morais	</t>
  </si>
  <si>
    <t xml:space="preserve">Maria Marcolino de Souza (Nenêm) </t>
  </si>
  <si>
    <t>Valnisie Campos de Mesquita</t>
  </si>
  <si>
    <t>MANHÃ/TARDE</t>
  </si>
  <si>
    <t xml:space="preserve">Aloisio Esteve de Oliveira	</t>
  </si>
  <si>
    <t>Anchieta Marque de Oliveira</t>
  </si>
  <si>
    <t>Antônio Marçal da Silva</t>
  </si>
  <si>
    <t>Aurimar Almeida de Castro</t>
  </si>
  <si>
    <t>Claudiana Otaviano da Silva Nunes</t>
  </si>
  <si>
    <t>Daniele Torres de Oliveira</t>
  </si>
  <si>
    <t>Francisca Adriana Sousa Alves</t>
  </si>
  <si>
    <t>Francisca Veronice dos Santos Maximiano</t>
  </si>
  <si>
    <t>Josenilda Maria do Nascimento</t>
  </si>
  <si>
    <t>Lindenberg Moreira Gomes</t>
  </si>
  <si>
    <t>Lucia Maria da Silva Lima</t>
  </si>
  <si>
    <t>Márcia Cristina Alves de Moura</t>
  </si>
  <si>
    <t>Maria Aldenôra Sousa de Oliveira</t>
  </si>
  <si>
    <t>Maria Beatriz Sousa do Nascimento</t>
  </si>
  <si>
    <t>Maria da Conceição Cruz Araújo</t>
  </si>
  <si>
    <t>Maria do Socorro Jerônimo Dantas</t>
  </si>
  <si>
    <t xml:space="preserve">F </t>
  </si>
  <si>
    <t>Maria Falcão dos Santos</t>
  </si>
  <si>
    <t>Maria Gorete de Macedo Favela Henrique</t>
  </si>
  <si>
    <t>Maria Ivanilda Do Nascimento Ricardo</t>
  </si>
  <si>
    <t>Maria Ivone Almeida de Oliveira</t>
  </si>
  <si>
    <t>Maria José da Silva Pacheco</t>
  </si>
  <si>
    <t>Maria Livramento Oliveira Sá</t>
  </si>
  <si>
    <t>Maria Luisa Silva Sousa</t>
  </si>
  <si>
    <t>Maria Oliveira da Silva Teixeira</t>
  </si>
  <si>
    <t>Nádia Martins de Castro</t>
  </si>
  <si>
    <t>Raimundo Oliveira da Silva</t>
  </si>
  <si>
    <t xml:space="preserve">Ruy de Castro Sá Barreto Jr	</t>
  </si>
  <si>
    <t>Sandra Maria de Assis</t>
  </si>
  <si>
    <t>Shirley dos Santos Cabral</t>
  </si>
  <si>
    <t>Silva Maria da Silva Lima</t>
  </si>
  <si>
    <t>Vicente Missias do Nascimento</t>
  </si>
  <si>
    <t>Walkiria Batista da Silva Lima</t>
  </si>
  <si>
    <t>Zilda da Silva Almeida</t>
  </si>
  <si>
    <t xml:space="preserve">Antônio Manuel Bessa (Valdo) </t>
  </si>
  <si>
    <t xml:space="preserve">João Eudes de Holanda	</t>
  </si>
  <si>
    <t>Antônio Barbosa da Silva</t>
  </si>
  <si>
    <t>TQ-8H</t>
  </si>
  <si>
    <t>SANTO ANTONIO</t>
  </si>
  <si>
    <t>Antônio Profilho Eloy Martins</t>
  </si>
  <si>
    <t>Clarisse Alves do Nascimento</t>
  </si>
  <si>
    <t>Cristina Maria Oliveira Queiroz</t>
  </si>
  <si>
    <t>Eliza da Costa e Silva Fonseca</t>
  </si>
  <si>
    <t>Ernandes Jota do Amaral</t>
  </si>
  <si>
    <t>Francisca Valda Alves de Sousa</t>
  </si>
  <si>
    <t>Francisco Lorenço Monteiro</t>
  </si>
  <si>
    <t>Francisco Macena da Silva</t>
  </si>
  <si>
    <t>José Bevemnildo Ribeiro da Silva</t>
  </si>
  <si>
    <t>José Lopes de Souza</t>
  </si>
  <si>
    <t>Juventina Francisca da Silva Nunes</t>
  </si>
  <si>
    <t>Margarida Oliveira da Silva</t>
  </si>
  <si>
    <t>Maria Alaíde de Sousa Oliveira</t>
  </si>
  <si>
    <t>Maria Bernadete Silva Costa</t>
  </si>
  <si>
    <t>Maria Caetano da Silva</t>
  </si>
  <si>
    <t>Maria de Lourdes Lima</t>
  </si>
  <si>
    <t>Maria José Alves da Silva</t>
  </si>
  <si>
    <t>Maria Luiza Peixoto Silva</t>
  </si>
  <si>
    <t>Maria Machado da Silva</t>
  </si>
  <si>
    <t>Maria Martin Carneiro</t>
  </si>
  <si>
    <t>Maria Nazaré Gomes de Souza</t>
  </si>
  <si>
    <t>Maria Zilca Batista de Souza</t>
  </si>
  <si>
    <t>Olegário Silvinho Neto</t>
  </si>
  <si>
    <t>Paulo de Tarso Rebouças de Carvalho</t>
  </si>
  <si>
    <t>Raimunda Pereira de Sousa</t>
  </si>
  <si>
    <t>Raimundo Nonato de Breu Falcão</t>
  </si>
  <si>
    <t>Ronaldo Felipe dos Santos</t>
  </si>
  <si>
    <t>Senhorinha Mendes do Nascimento</t>
  </si>
  <si>
    <t>Suzete Ferreira da Silva</t>
  </si>
  <si>
    <t>Terezinha Marques dos Santos</t>
  </si>
  <si>
    <t>Vanda Rita Brigido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</si>
</sst>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Segoe UI"/>
      <family val="2"/>
    </font>
    <font>
      <sz val="10"/>
      <name val="Aptos Narrow"/>
      <family val="2"/>
      <scheme val="minor"/>
    </font>
    <font>
      <sz val="10"/>
      <color theme="9" tint="-0.249977111117893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indexed="81"/>
      <name val="Segoe UI"/>
      <family val="2"/>
    </font>
    <font>
      <sz val="10"/>
      <color theme="0"/>
      <name val="Aptos Narrow"/>
      <family val="2"/>
      <scheme val="minor"/>
    </font>
    <font>
      <sz val="10"/>
      <color rgb="FF495057"/>
      <name val="Aptos Narrow"/>
      <family val="2"/>
      <scheme val="minor"/>
    </font>
    <font>
      <sz val="11"/>
      <color rgb="FF495057"/>
      <name val="Arial"/>
      <family val="2"/>
    </font>
    <font>
      <b/>
      <sz val="10"/>
      <color rgb="FF00B05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92D050"/>
      <name val="Aptos Narrow"/>
      <family val="2"/>
      <scheme val="minor"/>
    </font>
    <font>
      <u/>
      <sz val="10"/>
      <color rgb="FF495057"/>
      <name val="Aptos Narrow"/>
      <family val="2"/>
      <scheme val="minor"/>
    </font>
    <font>
      <u/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0" xfId="0" applyFont="1" applyFill="1" applyAlignment="1">
      <alignment horizontal="left"/>
    </xf>
    <xf numFmtId="0" fontId="3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8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3" borderId="0" xfId="0" applyFont="1" applyFill="1"/>
    <xf numFmtId="0" fontId="7" fillId="0" borderId="0" xfId="0" applyFont="1" applyAlignment="1">
      <alignment horizontal="center"/>
    </xf>
    <xf numFmtId="16" fontId="2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9" fillId="9" borderId="0" xfId="0" applyFont="1" applyFill="1"/>
    <xf numFmtId="0" fontId="9" fillId="9" borderId="0" xfId="0" applyFont="1" applyFill="1" applyAlignment="1">
      <alignment horizontal="left"/>
    </xf>
    <xf numFmtId="0" fontId="9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16" fontId="1" fillId="2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8" borderId="0" xfId="0" applyFont="1" applyFill="1"/>
    <xf numFmtId="0" fontId="10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/>
    <xf numFmtId="0" fontId="9" fillId="8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1" fillId="0" borderId="0" xfId="0" applyFont="1"/>
    <xf numFmtId="0" fontId="13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3" fillId="5" borderId="0" xfId="0" applyFont="1" applyFill="1"/>
    <xf numFmtId="0" fontId="3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5" fillId="8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14" fillId="8" borderId="0" xfId="0" applyFont="1" applyFill="1"/>
    <xf numFmtId="0" fontId="9" fillId="7" borderId="0" xfId="0" applyFont="1" applyFill="1"/>
    <xf numFmtId="0" fontId="3" fillId="7" borderId="0" xfId="0" applyFont="1" applyFill="1"/>
    <xf numFmtId="16" fontId="2" fillId="2" borderId="2" xfId="0" applyNumberFormat="1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10" fillId="0" borderId="0" xfId="0" applyFont="1"/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 vertical="center"/>
    </xf>
    <xf numFmtId="0" fontId="16" fillId="8" borderId="0" xfId="0" applyFont="1" applyFill="1" applyAlignment="1">
      <alignment horizontal="center"/>
    </xf>
  </cellXfs>
  <cellStyles count="1">
    <cellStyle name="Normal" xfId="0" builtinId="0"/>
  </cellStyles>
  <dxfs count="67">
    <dxf>
      <font>
        <b/>
        <i val="0"/>
        <color rgb="FFC00000"/>
      </font>
    </dxf>
    <dxf>
      <font>
        <b/>
        <i val="0"/>
        <color rgb="FF00B050"/>
      </font>
    </dxf>
    <dxf>
      <font>
        <color theme="1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1"/>
      </font>
    </dxf>
    <dxf>
      <font>
        <color theme="1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color theme="1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color theme="1"/>
      </font>
    </dxf>
    <dxf>
      <font>
        <b/>
        <i val="0"/>
        <color rgb="FFC00000"/>
      </font>
    </dxf>
    <dxf>
      <font>
        <b/>
        <i val="0"/>
        <color rgb="FF00B05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</dxf>
    <dxf>
      <font>
        <b/>
        <i val="0"/>
        <color rgb="FF00B050"/>
      </font>
    </dxf>
    <dxf>
      <font>
        <color theme="1"/>
      </font>
    </dxf>
    <dxf>
      <font>
        <b/>
        <i val="0"/>
        <color rgb="FF00B050"/>
      </font>
    </dxf>
    <dxf>
      <font>
        <b/>
        <i val="0"/>
        <color rgb="FFC0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1"/>
      </font>
    </dxf>
    <dxf>
      <font>
        <b/>
        <i val="0"/>
        <color rgb="FF00B050"/>
      </font>
    </dxf>
    <dxf>
      <font>
        <b/>
        <i val="0"/>
        <color rgb="FFC0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zoomScale="70" zoomScaleNormal="70" workbookViewId="0">
      <selection activeCell="A29" sqref="A29:XFD29"/>
    </sheetView>
  </sheetViews>
  <sheetFormatPr defaultColWidth="9.140625" defaultRowHeight="13.5" x14ac:dyDescent="0.25"/>
  <cols>
    <col min="1" max="1" width="29.42578125" style="3" bestFit="1" customWidth="1"/>
    <col min="2" max="2" width="13" style="6" bestFit="1" customWidth="1"/>
    <col min="3" max="3" width="16.42578125" style="6" bestFit="1" customWidth="1"/>
    <col min="4" max="4" width="14.42578125" style="24" bestFit="1" customWidth="1"/>
    <col min="5" max="5" width="5.140625" style="6" bestFit="1" customWidth="1"/>
    <col min="6" max="13" width="12" style="6" bestFit="1" customWidth="1"/>
    <col min="14" max="15" width="11.5703125" style="6" bestFit="1" customWidth="1"/>
    <col min="16" max="16" width="11.5703125" style="3" bestFit="1" customWidth="1"/>
    <col min="17" max="17" width="13.42578125" style="6" bestFit="1" customWidth="1"/>
    <col min="18" max="18" width="51.42578125" style="3" bestFit="1" customWidth="1"/>
    <col min="19" max="19" width="59.140625" style="3" bestFit="1" customWidth="1"/>
    <col min="20" max="16384" width="9.140625" style="3"/>
  </cols>
  <sheetData>
    <row r="1" spans="1:19" x14ac:dyDescent="0.25">
      <c r="A1" s="4" t="s">
        <v>0</v>
      </c>
      <c r="B1" s="4" t="s">
        <v>1</v>
      </c>
      <c r="C1" s="4" t="s">
        <v>2</v>
      </c>
      <c r="D1" s="23" t="s">
        <v>3</v>
      </c>
      <c r="E1" s="20" t="s">
        <v>4</v>
      </c>
      <c r="F1" s="20">
        <v>45621</v>
      </c>
      <c r="G1" s="20">
        <v>45623</v>
      </c>
      <c r="H1" s="20">
        <v>45628</v>
      </c>
      <c r="I1" s="20">
        <v>45630</v>
      </c>
      <c r="J1" s="20">
        <v>45635</v>
      </c>
      <c r="K1" s="20">
        <v>45637</v>
      </c>
      <c r="L1" s="20">
        <v>45642</v>
      </c>
      <c r="M1" s="20">
        <v>45644</v>
      </c>
      <c r="N1" s="20">
        <v>45665</v>
      </c>
      <c r="O1" s="20">
        <v>45670</v>
      </c>
      <c r="P1" s="20">
        <v>45672</v>
      </c>
      <c r="Q1" s="20" t="s">
        <v>5</v>
      </c>
      <c r="R1" s="3" t="s">
        <v>6</v>
      </c>
      <c r="S1" s="3" t="s">
        <v>7</v>
      </c>
    </row>
    <row r="2" spans="1:19" x14ac:dyDescent="0.25">
      <c r="A2" s="3" t="s">
        <v>8</v>
      </c>
      <c r="P2" s="6" t="s">
        <v>9</v>
      </c>
    </row>
    <row r="3" spans="1:19" s="21" customFormat="1" x14ac:dyDescent="0.25">
      <c r="A3" s="3" t="s">
        <v>10</v>
      </c>
      <c r="B3" s="6">
        <v>85992372214</v>
      </c>
      <c r="C3" s="6"/>
      <c r="D3" s="27" t="s">
        <v>11</v>
      </c>
      <c r="E3" s="6" t="s">
        <v>9</v>
      </c>
      <c r="F3" s="6"/>
      <c r="G3" s="6"/>
      <c r="H3" s="6"/>
      <c r="I3" s="6"/>
      <c r="J3" s="6" t="s">
        <v>9</v>
      </c>
      <c r="K3" s="6" t="s">
        <v>9</v>
      </c>
      <c r="L3" s="6" t="s">
        <v>9</v>
      </c>
      <c r="M3" s="6" t="s">
        <v>9</v>
      </c>
      <c r="N3" s="6" t="s">
        <v>9</v>
      </c>
      <c r="O3" s="6" t="s">
        <v>9</v>
      </c>
      <c r="P3" s="6" t="s">
        <v>9</v>
      </c>
      <c r="Q3" s="6"/>
      <c r="R3" s="3"/>
    </row>
    <row r="4" spans="1:19" x14ac:dyDescent="0.25">
      <c r="A4" s="3" t="s">
        <v>12</v>
      </c>
      <c r="B4" s="6">
        <v>85991146891</v>
      </c>
      <c r="D4" s="24" t="s">
        <v>13</v>
      </c>
      <c r="E4" s="6" t="s">
        <v>9</v>
      </c>
      <c r="F4" s="6" t="s">
        <v>9</v>
      </c>
      <c r="G4" s="6" t="s">
        <v>9</v>
      </c>
      <c r="H4" s="6" t="s">
        <v>9</v>
      </c>
      <c r="I4" s="6" t="s">
        <v>9</v>
      </c>
      <c r="J4" s="6" t="s">
        <v>9</v>
      </c>
      <c r="K4" s="6" t="s">
        <v>9</v>
      </c>
      <c r="L4" s="6" t="s">
        <v>9</v>
      </c>
      <c r="M4" s="6" t="s">
        <v>9</v>
      </c>
      <c r="N4" s="6" t="s">
        <v>9</v>
      </c>
      <c r="O4" s="6" t="s">
        <v>9</v>
      </c>
      <c r="P4" s="6" t="s">
        <v>9</v>
      </c>
    </row>
    <row r="5" spans="1:19" x14ac:dyDescent="0.25">
      <c r="A5" s="3" t="s">
        <v>14</v>
      </c>
      <c r="B5" s="6">
        <v>85988297277</v>
      </c>
      <c r="N5" s="6" t="s">
        <v>9</v>
      </c>
      <c r="O5" s="6" t="s">
        <v>9</v>
      </c>
      <c r="P5" s="6" t="s">
        <v>9</v>
      </c>
    </row>
    <row r="6" spans="1:19" x14ac:dyDescent="0.25">
      <c r="A6" s="3" t="s">
        <v>15</v>
      </c>
      <c r="B6" s="6">
        <v>85992850136</v>
      </c>
      <c r="D6" s="27" t="s">
        <v>11</v>
      </c>
      <c r="P6" s="19" t="s">
        <v>16</v>
      </c>
      <c r="Q6" s="16" t="s">
        <v>17</v>
      </c>
      <c r="R6" s="3" t="s">
        <v>18</v>
      </c>
    </row>
    <row r="7" spans="1:19" x14ac:dyDescent="0.25">
      <c r="A7" s="3" t="s">
        <v>19</v>
      </c>
      <c r="B7" s="6">
        <v>85992096112</v>
      </c>
      <c r="D7" s="24" t="s">
        <v>20</v>
      </c>
      <c r="E7" s="6" t="s">
        <v>9</v>
      </c>
      <c r="J7" s="6" t="s">
        <v>9</v>
      </c>
      <c r="K7" s="6" t="s">
        <v>9</v>
      </c>
      <c r="L7" s="6" t="s">
        <v>9</v>
      </c>
      <c r="M7" s="6" t="s">
        <v>9</v>
      </c>
      <c r="N7" s="6" t="s">
        <v>9</v>
      </c>
      <c r="O7" s="19" t="s">
        <v>16</v>
      </c>
      <c r="P7" s="6" t="s">
        <v>9</v>
      </c>
      <c r="Q7" s="6" t="s">
        <v>21</v>
      </c>
    </row>
    <row r="8" spans="1:19" x14ac:dyDescent="0.25">
      <c r="A8" s="3" t="s">
        <v>22</v>
      </c>
      <c r="B8" s="6">
        <v>85999166962</v>
      </c>
      <c r="N8" s="6" t="s">
        <v>9</v>
      </c>
      <c r="O8" s="19" t="s">
        <v>16</v>
      </c>
      <c r="P8" s="6" t="s">
        <v>23</v>
      </c>
      <c r="Q8" s="6" t="s">
        <v>21</v>
      </c>
    </row>
    <row r="9" spans="1:19" x14ac:dyDescent="0.25">
      <c r="A9" s="3" t="s">
        <v>24</v>
      </c>
      <c r="J9" s="6" t="s">
        <v>9</v>
      </c>
      <c r="K9" s="6" t="s">
        <v>9</v>
      </c>
      <c r="L9" s="6" t="s">
        <v>9</v>
      </c>
      <c r="N9" s="6" t="s">
        <v>9</v>
      </c>
      <c r="O9" s="6" t="s">
        <v>9</v>
      </c>
      <c r="P9" s="6" t="s">
        <v>9</v>
      </c>
    </row>
    <row r="10" spans="1:19" x14ac:dyDescent="0.25">
      <c r="A10" s="3" t="s">
        <v>25</v>
      </c>
      <c r="B10" s="6">
        <v>85981024351</v>
      </c>
      <c r="N10" s="19" t="s">
        <v>16</v>
      </c>
      <c r="O10" s="19" t="s">
        <v>16</v>
      </c>
      <c r="P10" s="6" t="s">
        <v>23</v>
      </c>
      <c r="Q10" s="6" t="s">
        <v>17</v>
      </c>
      <c r="R10" s="3" t="s">
        <v>26</v>
      </c>
    </row>
    <row r="11" spans="1:19" x14ac:dyDescent="0.25">
      <c r="A11" s="18" t="s">
        <v>27</v>
      </c>
      <c r="B11" s="8">
        <v>85987058056</v>
      </c>
      <c r="C11" s="8" t="s">
        <v>28</v>
      </c>
      <c r="D11" s="25" t="s">
        <v>11</v>
      </c>
      <c r="E11" s="8"/>
      <c r="F11" s="8"/>
      <c r="G11" s="8"/>
      <c r="H11" s="8"/>
      <c r="I11" s="8"/>
      <c r="J11" s="8"/>
      <c r="K11" s="8"/>
      <c r="L11" s="8"/>
      <c r="M11" s="8"/>
      <c r="N11" s="8" t="s">
        <v>9</v>
      </c>
      <c r="O11" s="8" t="s">
        <v>9</v>
      </c>
      <c r="P11" s="8" t="s">
        <v>9</v>
      </c>
      <c r="Q11" s="8"/>
      <c r="R11" s="18"/>
      <c r="S11" s="18"/>
    </row>
    <row r="12" spans="1:19" x14ac:dyDescent="0.25">
      <c r="A12" s="3" t="s">
        <v>29</v>
      </c>
      <c r="B12" s="6">
        <v>85986029128</v>
      </c>
      <c r="D12" s="24" t="s">
        <v>20</v>
      </c>
      <c r="H12" s="6" t="s">
        <v>9</v>
      </c>
      <c r="I12" s="6" t="s">
        <v>9</v>
      </c>
      <c r="J12" s="6" t="s">
        <v>9</v>
      </c>
      <c r="K12" s="6" t="s">
        <v>9</v>
      </c>
      <c r="N12" s="6" t="s">
        <v>9</v>
      </c>
      <c r="O12" s="6" t="s">
        <v>9</v>
      </c>
      <c r="P12" s="19" t="s">
        <v>16</v>
      </c>
    </row>
    <row r="13" spans="1:19" x14ac:dyDescent="0.25">
      <c r="A13" s="3" t="s">
        <v>30</v>
      </c>
      <c r="D13" s="24" t="s">
        <v>13</v>
      </c>
      <c r="E13" s="6" t="s">
        <v>9</v>
      </c>
      <c r="N13" s="6" t="s">
        <v>9</v>
      </c>
      <c r="O13" s="19" t="s">
        <v>16</v>
      </c>
      <c r="P13" s="6" t="s">
        <v>23</v>
      </c>
      <c r="Q13" s="6" t="s">
        <v>21</v>
      </c>
    </row>
    <row r="14" spans="1:19" x14ac:dyDescent="0.25">
      <c r="A14" s="3" t="s">
        <v>31</v>
      </c>
      <c r="L14" s="6" t="s">
        <v>9</v>
      </c>
      <c r="M14" s="6" t="s">
        <v>9</v>
      </c>
      <c r="N14" s="19" t="s">
        <v>16</v>
      </c>
      <c r="O14" s="19" t="s">
        <v>16</v>
      </c>
      <c r="P14" s="19" t="s">
        <v>16</v>
      </c>
      <c r="Q14" s="6" t="s">
        <v>17</v>
      </c>
      <c r="R14" s="3" t="s">
        <v>32</v>
      </c>
    </row>
    <row r="15" spans="1:19" x14ac:dyDescent="0.25">
      <c r="A15" s="3" t="s">
        <v>33</v>
      </c>
      <c r="B15" s="6">
        <v>85985984799</v>
      </c>
      <c r="D15" s="24" t="s">
        <v>20</v>
      </c>
      <c r="N15" s="6" t="s">
        <v>9</v>
      </c>
      <c r="O15" s="6" t="s">
        <v>9</v>
      </c>
      <c r="P15" s="6" t="s">
        <v>34</v>
      </c>
      <c r="S15" s="3" t="s">
        <v>35</v>
      </c>
    </row>
    <row r="16" spans="1:19" x14ac:dyDescent="0.25">
      <c r="A16" s="3" t="s">
        <v>36</v>
      </c>
      <c r="B16" s="6">
        <v>85992370444</v>
      </c>
      <c r="D16" s="27" t="s">
        <v>11</v>
      </c>
      <c r="E16" s="6" t="s">
        <v>9</v>
      </c>
      <c r="N16" s="6" t="s">
        <v>9</v>
      </c>
      <c r="O16" s="19" t="s">
        <v>16</v>
      </c>
      <c r="P16" s="19" t="s">
        <v>16</v>
      </c>
      <c r="Q16" s="6" t="s">
        <v>21</v>
      </c>
    </row>
    <row r="17" spans="1:19" x14ac:dyDescent="0.25">
      <c r="A17" s="3" t="s">
        <v>37</v>
      </c>
      <c r="B17" s="6">
        <v>85985424242</v>
      </c>
      <c r="D17" s="24" t="s">
        <v>20</v>
      </c>
      <c r="P17" s="19" t="s">
        <v>16</v>
      </c>
      <c r="Q17" s="6" t="s">
        <v>17</v>
      </c>
      <c r="R17" s="3" t="s">
        <v>38</v>
      </c>
    </row>
    <row r="18" spans="1:19" x14ac:dyDescent="0.25">
      <c r="A18" s="3" t="s">
        <v>39</v>
      </c>
      <c r="B18" s="6">
        <v>85992297858</v>
      </c>
      <c r="D18" s="27" t="s">
        <v>11</v>
      </c>
      <c r="P18" s="19" t="s">
        <v>16</v>
      </c>
      <c r="Q18" s="16" t="s">
        <v>17</v>
      </c>
      <c r="R18" s="3" t="s">
        <v>18</v>
      </c>
    </row>
    <row r="19" spans="1:19" x14ac:dyDescent="0.25">
      <c r="A19" s="18" t="s">
        <v>40</v>
      </c>
      <c r="B19" s="8">
        <v>85989364457</v>
      </c>
      <c r="C19" s="8" t="s">
        <v>28</v>
      </c>
      <c r="D19" s="25" t="s">
        <v>11</v>
      </c>
      <c r="E19" s="8"/>
      <c r="F19" s="8"/>
      <c r="G19" s="8"/>
      <c r="H19" s="8"/>
      <c r="I19" s="8"/>
      <c r="J19" s="8"/>
      <c r="K19" s="8"/>
      <c r="L19" s="8"/>
      <c r="M19" s="8"/>
      <c r="N19" s="8" t="s">
        <v>9</v>
      </c>
      <c r="O19" s="8" t="s">
        <v>9</v>
      </c>
      <c r="P19" s="8" t="s">
        <v>9</v>
      </c>
      <c r="Q19" s="8"/>
      <c r="R19" s="18"/>
      <c r="S19" s="18"/>
    </row>
    <row r="20" spans="1:19" x14ac:dyDescent="0.25">
      <c r="A20" s="3" t="s">
        <v>41</v>
      </c>
      <c r="B20" s="6">
        <v>85988249154</v>
      </c>
      <c r="D20" s="24" t="s">
        <v>20</v>
      </c>
      <c r="J20" s="6" t="s">
        <v>9</v>
      </c>
      <c r="K20" s="6" t="s">
        <v>9</v>
      </c>
      <c r="L20" s="6" t="s">
        <v>9</v>
      </c>
      <c r="N20" s="19" t="s">
        <v>16</v>
      </c>
      <c r="O20" s="6" t="s">
        <v>9</v>
      </c>
      <c r="P20" s="19" t="s">
        <v>16</v>
      </c>
    </row>
    <row r="21" spans="1:19" x14ac:dyDescent="0.25">
      <c r="A21" s="18" t="s">
        <v>42</v>
      </c>
      <c r="B21" s="8">
        <v>85988908983</v>
      </c>
      <c r="C21" s="8" t="s">
        <v>28</v>
      </c>
      <c r="D21" s="25" t="s">
        <v>11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8"/>
      <c r="Q21" s="8"/>
      <c r="R21" s="18"/>
      <c r="S21" s="18"/>
    </row>
    <row r="22" spans="1:19" x14ac:dyDescent="0.25">
      <c r="A22" s="3" t="s">
        <v>43</v>
      </c>
      <c r="B22" s="6">
        <v>85992469294</v>
      </c>
      <c r="D22" s="24" t="s">
        <v>20</v>
      </c>
      <c r="E22" s="6" t="s">
        <v>9</v>
      </c>
      <c r="N22" s="19" t="s">
        <v>16</v>
      </c>
      <c r="O22" s="19" t="s">
        <v>16</v>
      </c>
      <c r="P22" s="19" t="s">
        <v>16</v>
      </c>
      <c r="Q22" s="6" t="s">
        <v>17</v>
      </c>
      <c r="R22" s="3" t="s">
        <v>44</v>
      </c>
    </row>
    <row r="23" spans="1:19" x14ac:dyDescent="0.25">
      <c r="A23" s="3" t="s">
        <v>45</v>
      </c>
      <c r="B23" s="6">
        <v>85985200812</v>
      </c>
      <c r="D23" s="24" t="s">
        <v>20</v>
      </c>
      <c r="E23" s="6" t="s">
        <v>9</v>
      </c>
      <c r="N23" s="19" t="s">
        <v>16</v>
      </c>
      <c r="O23" s="19" t="s">
        <v>16</v>
      </c>
      <c r="P23" s="19" t="s">
        <v>16</v>
      </c>
      <c r="Q23" s="6" t="s">
        <v>17</v>
      </c>
      <c r="R23" s="3" t="s">
        <v>46</v>
      </c>
    </row>
    <row r="24" spans="1:19" x14ac:dyDescent="0.25">
      <c r="A24" s="18" t="s">
        <v>47</v>
      </c>
      <c r="B24" s="8">
        <v>85988106809</v>
      </c>
      <c r="C24" s="8" t="s">
        <v>28</v>
      </c>
      <c r="D24" s="25" t="s">
        <v>11</v>
      </c>
      <c r="E24" s="8"/>
      <c r="F24" s="8"/>
      <c r="G24" s="8"/>
      <c r="H24" s="8" t="s">
        <v>9</v>
      </c>
      <c r="I24" s="8" t="s">
        <v>9</v>
      </c>
      <c r="J24" s="8" t="s">
        <v>9</v>
      </c>
      <c r="K24" s="8" t="s">
        <v>9</v>
      </c>
      <c r="L24" s="8" t="s">
        <v>9</v>
      </c>
      <c r="M24" s="8" t="s">
        <v>9</v>
      </c>
      <c r="N24" s="8" t="s">
        <v>9</v>
      </c>
      <c r="O24" s="28" t="s">
        <v>16</v>
      </c>
      <c r="P24" s="8" t="s">
        <v>9</v>
      </c>
      <c r="Q24" s="8" t="s">
        <v>21</v>
      </c>
      <c r="R24" s="18"/>
      <c r="S24" s="18"/>
    </row>
    <row r="25" spans="1:19" x14ac:dyDescent="0.25">
      <c r="A25" s="3" t="s">
        <v>48</v>
      </c>
      <c r="B25" s="6">
        <v>85997872897</v>
      </c>
    </row>
    <row r="26" spans="1:19" x14ac:dyDescent="0.25">
      <c r="A26" s="18" t="s">
        <v>49</v>
      </c>
      <c r="B26" s="8">
        <v>85991009712</v>
      </c>
      <c r="C26" s="8" t="s">
        <v>28</v>
      </c>
      <c r="D26" s="25" t="s">
        <v>11</v>
      </c>
      <c r="E26" s="8"/>
      <c r="F26" s="8"/>
      <c r="G26" s="8"/>
      <c r="H26" s="8"/>
      <c r="I26" s="8"/>
      <c r="J26" s="8"/>
      <c r="K26" s="8"/>
      <c r="L26" s="8"/>
      <c r="M26" s="8"/>
      <c r="N26" s="8" t="s">
        <v>34</v>
      </c>
      <c r="O26" s="8" t="s">
        <v>9</v>
      </c>
      <c r="P26" s="8" t="s">
        <v>9</v>
      </c>
      <c r="Q26" s="8"/>
      <c r="R26" s="18"/>
      <c r="S26" s="18"/>
    </row>
    <row r="27" spans="1:19" x14ac:dyDescent="0.25">
      <c r="A27" s="3" t="s">
        <v>50</v>
      </c>
      <c r="N27" s="6" t="s">
        <v>34</v>
      </c>
      <c r="O27" s="19" t="s">
        <v>16</v>
      </c>
      <c r="P27" s="19" t="s">
        <v>16</v>
      </c>
      <c r="Q27" s="6" t="s">
        <v>17</v>
      </c>
      <c r="R27" s="3" t="s">
        <v>32</v>
      </c>
    </row>
    <row r="28" spans="1:19" x14ac:dyDescent="0.25">
      <c r="A28" s="3" t="s">
        <v>51</v>
      </c>
      <c r="N28" s="6" t="s">
        <v>34</v>
      </c>
      <c r="O28" s="19" t="s">
        <v>16</v>
      </c>
      <c r="P28" s="19" t="s">
        <v>16</v>
      </c>
      <c r="Q28" s="6" t="s">
        <v>17</v>
      </c>
      <c r="R28" s="3" t="s">
        <v>32</v>
      </c>
    </row>
    <row r="29" spans="1:19" x14ac:dyDescent="0.25">
      <c r="A29" s="18" t="s">
        <v>52</v>
      </c>
      <c r="B29" s="8">
        <v>85988780579</v>
      </c>
      <c r="C29" s="8" t="s">
        <v>28</v>
      </c>
      <c r="D29" s="25" t="s">
        <v>11</v>
      </c>
      <c r="E29" s="8"/>
      <c r="F29" s="8"/>
      <c r="G29" s="8"/>
      <c r="H29" s="8" t="s">
        <v>9</v>
      </c>
      <c r="I29" s="8" t="s">
        <v>9</v>
      </c>
      <c r="J29" s="8" t="s">
        <v>9</v>
      </c>
      <c r="K29" s="8" t="s">
        <v>9</v>
      </c>
      <c r="L29" s="8" t="s">
        <v>9</v>
      </c>
      <c r="M29" s="8" t="s">
        <v>9</v>
      </c>
      <c r="N29" s="28" t="s">
        <v>16</v>
      </c>
      <c r="O29" s="28" t="s">
        <v>16</v>
      </c>
      <c r="P29" s="8" t="s">
        <v>9</v>
      </c>
      <c r="Q29" s="16" t="s">
        <v>17</v>
      </c>
      <c r="R29" s="18" t="s">
        <v>53</v>
      </c>
      <c r="S29" s="18"/>
    </row>
    <row r="30" spans="1:19" x14ac:dyDescent="0.25">
      <c r="A30" s="3" t="s">
        <v>54</v>
      </c>
      <c r="B30" s="6">
        <v>85988654528</v>
      </c>
      <c r="L30" s="6" t="s">
        <v>9</v>
      </c>
      <c r="M30" s="6" t="s">
        <v>9</v>
      </c>
      <c r="N30" s="6" t="s">
        <v>9</v>
      </c>
      <c r="O30" s="6" t="s">
        <v>9</v>
      </c>
      <c r="P30" s="6" t="s">
        <v>9</v>
      </c>
    </row>
    <row r="31" spans="1:19" x14ac:dyDescent="0.25">
      <c r="A31" s="3" t="s">
        <v>55</v>
      </c>
      <c r="B31" s="6">
        <v>85999083735</v>
      </c>
      <c r="D31" s="27" t="s">
        <v>11</v>
      </c>
      <c r="H31" s="6" t="s">
        <v>9</v>
      </c>
      <c r="I31" s="6" t="s">
        <v>9</v>
      </c>
      <c r="J31" s="6" t="s">
        <v>9</v>
      </c>
      <c r="M31" s="6" t="s">
        <v>9</v>
      </c>
      <c r="N31" s="19" t="s">
        <v>16</v>
      </c>
      <c r="O31" s="19" t="s">
        <v>16</v>
      </c>
      <c r="P31" s="19" t="s">
        <v>16</v>
      </c>
      <c r="Q31" s="16" t="s">
        <v>17</v>
      </c>
      <c r="R31" s="3" t="s">
        <v>46</v>
      </c>
    </row>
    <row r="32" spans="1:19" x14ac:dyDescent="0.25">
      <c r="A32" s="18" t="s">
        <v>56</v>
      </c>
      <c r="B32" s="8">
        <v>85996591156</v>
      </c>
      <c r="C32" s="8" t="s">
        <v>28</v>
      </c>
      <c r="D32" s="25" t="s">
        <v>11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 t="s">
        <v>9</v>
      </c>
      <c r="Q32" s="8"/>
      <c r="R32" s="18"/>
      <c r="S32" s="18"/>
    </row>
    <row r="33" spans="1:18" x14ac:dyDescent="0.25">
      <c r="A33" s="3" t="s">
        <v>57</v>
      </c>
      <c r="B33" s="6">
        <v>85996591156</v>
      </c>
      <c r="P33" s="6" t="s">
        <v>9</v>
      </c>
    </row>
    <row r="34" spans="1:18" x14ac:dyDescent="0.25">
      <c r="A34" s="3" t="s">
        <v>58</v>
      </c>
      <c r="B34" s="6">
        <v>85992610601</v>
      </c>
      <c r="D34" s="24" t="s">
        <v>20</v>
      </c>
      <c r="E34" s="6" t="s">
        <v>9</v>
      </c>
      <c r="F34" s="6" t="s">
        <v>9</v>
      </c>
      <c r="G34" s="6" t="s">
        <v>9</v>
      </c>
      <c r="H34" s="6" t="s">
        <v>9</v>
      </c>
      <c r="I34" s="6" t="s">
        <v>9</v>
      </c>
      <c r="J34" s="6" t="s">
        <v>9</v>
      </c>
      <c r="K34" s="6" t="s">
        <v>9</v>
      </c>
      <c r="L34" s="6" t="s">
        <v>9</v>
      </c>
      <c r="M34" s="6" t="s">
        <v>9</v>
      </c>
      <c r="N34" s="19" t="s">
        <v>16</v>
      </c>
      <c r="O34" s="6" t="s">
        <v>9</v>
      </c>
      <c r="P34" s="6" t="s">
        <v>9</v>
      </c>
    </row>
    <row r="35" spans="1:18" x14ac:dyDescent="0.25">
      <c r="A35" s="3" t="s">
        <v>59</v>
      </c>
      <c r="B35" s="6">
        <v>85988244210</v>
      </c>
      <c r="N35" s="6" t="s">
        <v>9</v>
      </c>
      <c r="O35" s="6" t="s">
        <v>9</v>
      </c>
      <c r="P35" s="6" t="s">
        <v>9</v>
      </c>
    </row>
    <row r="36" spans="1:18" x14ac:dyDescent="0.25">
      <c r="A36" s="3" t="s">
        <v>60</v>
      </c>
      <c r="B36" s="6">
        <v>85999377814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Q36" s="22"/>
    </row>
    <row r="37" spans="1:18" x14ac:dyDescent="0.25">
      <c r="A37" s="3" t="s">
        <v>61</v>
      </c>
      <c r="B37" s="6">
        <v>8598736547</v>
      </c>
      <c r="M37" s="6" t="s">
        <v>9</v>
      </c>
      <c r="N37" s="6" t="s">
        <v>9</v>
      </c>
      <c r="O37" s="6" t="s">
        <v>9</v>
      </c>
      <c r="P37" s="6" t="s">
        <v>9</v>
      </c>
    </row>
    <row r="38" spans="1:18" x14ac:dyDescent="0.25">
      <c r="A38" s="3" t="s">
        <v>62</v>
      </c>
      <c r="B38" s="6">
        <v>85992106623</v>
      </c>
      <c r="D38" s="24" t="s">
        <v>20</v>
      </c>
      <c r="E38" s="6" t="s">
        <v>9</v>
      </c>
      <c r="N38" s="6" t="s">
        <v>9</v>
      </c>
      <c r="O38" s="6" t="s">
        <v>9</v>
      </c>
      <c r="P38" s="19" t="s">
        <v>16</v>
      </c>
    </row>
    <row r="39" spans="1:18" x14ac:dyDescent="0.25">
      <c r="A39" s="3" t="s">
        <v>63</v>
      </c>
      <c r="B39" s="6">
        <v>85999382647</v>
      </c>
      <c r="D39" s="24" t="s">
        <v>20</v>
      </c>
      <c r="E39" s="6" t="s">
        <v>9</v>
      </c>
      <c r="F39" s="6" t="s">
        <v>9</v>
      </c>
      <c r="G39" s="6" t="s">
        <v>9</v>
      </c>
      <c r="H39" s="6" t="s">
        <v>9</v>
      </c>
      <c r="I39" s="6" t="s">
        <v>9</v>
      </c>
      <c r="J39" s="6" t="s">
        <v>9</v>
      </c>
      <c r="K39" s="6" t="s">
        <v>9</v>
      </c>
      <c r="L39" s="6" t="s">
        <v>9</v>
      </c>
      <c r="M39" s="6" t="s">
        <v>9</v>
      </c>
      <c r="N39" s="6" t="s">
        <v>9</v>
      </c>
      <c r="O39" s="6" t="s">
        <v>9</v>
      </c>
      <c r="P39" s="6" t="s">
        <v>9</v>
      </c>
    </row>
    <row r="40" spans="1:18" x14ac:dyDescent="0.25">
      <c r="A40" s="3" t="s">
        <v>64</v>
      </c>
      <c r="B40" s="6">
        <v>85992351765</v>
      </c>
      <c r="P40" s="19" t="s">
        <v>16</v>
      </c>
      <c r="Q40" s="6" t="s">
        <v>17</v>
      </c>
      <c r="R40" s="3" t="s">
        <v>18</v>
      </c>
    </row>
    <row r="41" spans="1:18" x14ac:dyDescent="0.25">
      <c r="A41" s="3" t="s">
        <v>65</v>
      </c>
      <c r="N41" s="6" t="s">
        <v>34</v>
      </c>
      <c r="O41" s="19" t="s">
        <v>16</v>
      </c>
      <c r="P41" s="19" t="s">
        <v>16</v>
      </c>
      <c r="Q41" s="6" t="s">
        <v>17</v>
      </c>
      <c r="R41" s="3" t="s">
        <v>32</v>
      </c>
    </row>
    <row r="42" spans="1:18" x14ac:dyDescent="0.25">
      <c r="A42" s="3" t="s">
        <v>66</v>
      </c>
      <c r="D42" s="26" t="s">
        <v>13</v>
      </c>
      <c r="E42" s="6" t="s">
        <v>9</v>
      </c>
      <c r="F42" s="6" t="s">
        <v>9</v>
      </c>
      <c r="G42" s="6" t="s">
        <v>9</v>
      </c>
      <c r="H42" s="6" t="s">
        <v>9</v>
      </c>
      <c r="I42" s="6" t="s">
        <v>9</v>
      </c>
      <c r="J42" s="6" t="s">
        <v>9</v>
      </c>
      <c r="M42" s="6" t="s">
        <v>9</v>
      </c>
      <c r="N42" s="19" t="s">
        <v>16</v>
      </c>
      <c r="O42" s="19" t="s">
        <v>16</v>
      </c>
      <c r="P42" s="6" t="s">
        <v>9</v>
      </c>
      <c r="Q42" s="6" t="s">
        <v>17</v>
      </c>
      <c r="R42" s="3" t="s">
        <v>32</v>
      </c>
    </row>
    <row r="43" spans="1:18" x14ac:dyDescent="0.25">
      <c r="A43" s="3" t="s">
        <v>67</v>
      </c>
      <c r="B43" s="6">
        <v>85992190726</v>
      </c>
      <c r="D43" s="24" t="s">
        <v>13</v>
      </c>
      <c r="E43" s="6" t="s">
        <v>9</v>
      </c>
      <c r="J43" s="6" t="s">
        <v>9</v>
      </c>
      <c r="K43" s="6" t="s">
        <v>9</v>
      </c>
      <c r="L43" s="6" t="s">
        <v>9</v>
      </c>
      <c r="M43" s="6" t="s">
        <v>9</v>
      </c>
      <c r="N43" s="19" t="s">
        <v>16</v>
      </c>
      <c r="O43" s="6" t="s">
        <v>9</v>
      </c>
      <c r="P43" s="6" t="s">
        <v>9</v>
      </c>
    </row>
    <row r="44" spans="1:18" x14ac:dyDescent="0.25">
      <c r="A44" s="3" t="s">
        <v>68</v>
      </c>
      <c r="B44" s="6">
        <v>85996299781</v>
      </c>
      <c r="D44" s="24" t="s">
        <v>20</v>
      </c>
      <c r="F44" s="6" t="s">
        <v>9</v>
      </c>
      <c r="G44" s="6" t="s">
        <v>9</v>
      </c>
      <c r="H44" s="6" t="s">
        <v>9</v>
      </c>
      <c r="I44" s="6" t="s">
        <v>9</v>
      </c>
      <c r="J44" s="6" t="s">
        <v>9</v>
      </c>
      <c r="K44" s="6" t="s">
        <v>9</v>
      </c>
      <c r="M44" s="6" t="s">
        <v>9</v>
      </c>
      <c r="N44" s="6" t="s">
        <v>9</v>
      </c>
      <c r="O44" s="19" t="s">
        <v>16</v>
      </c>
      <c r="P44" s="6" t="s">
        <v>23</v>
      </c>
      <c r="Q44" s="6" t="s">
        <v>21</v>
      </c>
      <c r="R44" s="3" t="s">
        <v>69</v>
      </c>
    </row>
    <row r="45" spans="1:18" x14ac:dyDescent="0.25">
      <c r="A45" s="3" t="s">
        <v>70</v>
      </c>
      <c r="B45" s="6">
        <v>85994354818</v>
      </c>
      <c r="N45" s="6" t="s">
        <v>9</v>
      </c>
      <c r="O45" s="6" t="s">
        <v>9</v>
      </c>
      <c r="P45" s="6" t="s">
        <v>9</v>
      </c>
    </row>
    <row r="46" spans="1:18" x14ac:dyDescent="0.25">
      <c r="A46" s="3" t="s">
        <v>71</v>
      </c>
      <c r="B46" s="6">
        <v>85986791028</v>
      </c>
      <c r="D46" s="24" t="s">
        <v>20</v>
      </c>
      <c r="P46" s="19" t="s">
        <v>16</v>
      </c>
      <c r="Q46" s="6" t="s">
        <v>17</v>
      </c>
      <c r="R46" s="3" t="s">
        <v>18</v>
      </c>
    </row>
    <row r="47" spans="1:18" x14ac:dyDescent="0.25">
      <c r="A47" s="3" t="s">
        <v>72</v>
      </c>
      <c r="B47" s="6">
        <v>85992502845</v>
      </c>
      <c r="D47" s="27" t="s">
        <v>11</v>
      </c>
      <c r="E47" s="6" t="s">
        <v>9</v>
      </c>
      <c r="F47" s="6" t="s">
        <v>9</v>
      </c>
      <c r="G47" s="6" t="s">
        <v>9</v>
      </c>
      <c r="H47" s="6" t="s">
        <v>9</v>
      </c>
      <c r="I47" s="6" t="s">
        <v>9</v>
      </c>
      <c r="J47" s="6" t="s">
        <v>9</v>
      </c>
      <c r="K47" s="6" t="s">
        <v>9</v>
      </c>
      <c r="L47" s="6" t="s">
        <v>9</v>
      </c>
      <c r="M47" s="6" t="s">
        <v>9</v>
      </c>
      <c r="N47" s="19" t="s">
        <v>16</v>
      </c>
      <c r="O47" s="6" t="s">
        <v>9</v>
      </c>
      <c r="P47" s="6" t="s">
        <v>9</v>
      </c>
    </row>
    <row r="48" spans="1:18" x14ac:dyDescent="0.25">
      <c r="A48" s="3" t="s">
        <v>73</v>
      </c>
      <c r="B48" s="6">
        <v>85986791028</v>
      </c>
      <c r="D48" s="27" t="s">
        <v>11</v>
      </c>
      <c r="Q48" s="16" t="s">
        <v>17</v>
      </c>
      <c r="R48" s="3" t="s">
        <v>74</v>
      </c>
    </row>
    <row r="49" spans="1:18" x14ac:dyDescent="0.25">
      <c r="A49" s="3" t="s">
        <v>75</v>
      </c>
      <c r="D49" s="24" t="s">
        <v>13</v>
      </c>
      <c r="E49" s="6" t="s">
        <v>9</v>
      </c>
      <c r="N49" s="19" t="s">
        <v>16</v>
      </c>
      <c r="O49" s="19" t="s">
        <v>16</v>
      </c>
      <c r="P49" s="6" t="s">
        <v>9</v>
      </c>
      <c r="Q49" s="6" t="s">
        <v>17</v>
      </c>
      <c r="R49" s="3" t="s">
        <v>76</v>
      </c>
    </row>
    <row r="50" spans="1:18" x14ac:dyDescent="0.25">
      <c r="A50" s="3" t="s">
        <v>77</v>
      </c>
      <c r="D50" s="24" t="s">
        <v>20</v>
      </c>
      <c r="E50" s="6" t="s">
        <v>9</v>
      </c>
      <c r="J50" s="6" t="s">
        <v>9</v>
      </c>
      <c r="K50" s="6" t="s">
        <v>9</v>
      </c>
      <c r="L50" s="6" t="s">
        <v>9</v>
      </c>
      <c r="M50" s="6" t="s">
        <v>9</v>
      </c>
      <c r="N50" s="19" t="s">
        <v>16</v>
      </c>
      <c r="O50" s="19" t="s">
        <v>16</v>
      </c>
      <c r="P50" s="6" t="s">
        <v>23</v>
      </c>
      <c r="Q50" s="6" t="s">
        <v>17</v>
      </c>
      <c r="R50" s="3" t="s">
        <v>32</v>
      </c>
    </row>
    <row r="51" spans="1:18" x14ac:dyDescent="0.25">
      <c r="A51" s="3" t="s">
        <v>78</v>
      </c>
      <c r="D51" s="24" t="s">
        <v>13</v>
      </c>
      <c r="E51" s="6" t="s">
        <v>9</v>
      </c>
      <c r="F51" s="6" t="s">
        <v>9</v>
      </c>
      <c r="G51" s="6" t="s">
        <v>9</v>
      </c>
      <c r="H51" s="6" t="s">
        <v>9</v>
      </c>
      <c r="I51" s="6" t="s">
        <v>9</v>
      </c>
      <c r="J51" s="6" t="s">
        <v>9</v>
      </c>
      <c r="K51" s="6" t="s">
        <v>9</v>
      </c>
      <c r="L51" s="6" t="s">
        <v>9</v>
      </c>
      <c r="M51" s="6" t="s">
        <v>9</v>
      </c>
      <c r="N51" s="6" t="s">
        <v>9</v>
      </c>
      <c r="O51" s="6" t="s">
        <v>9</v>
      </c>
      <c r="P51" s="6" t="s">
        <v>9</v>
      </c>
      <c r="R51" s="3" t="s">
        <v>79</v>
      </c>
    </row>
    <row r="52" spans="1:18" x14ac:dyDescent="0.25">
      <c r="A52" s="3" t="s">
        <v>80</v>
      </c>
      <c r="B52" s="6">
        <v>85988546147</v>
      </c>
      <c r="D52" s="24" t="s">
        <v>13</v>
      </c>
      <c r="E52" s="6" t="s">
        <v>9</v>
      </c>
      <c r="N52" s="19" t="s">
        <v>16</v>
      </c>
      <c r="O52" s="19" t="s">
        <v>16</v>
      </c>
      <c r="P52" s="19" t="s">
        <v>16</v>
      </c>
      <c r="Q52" s="6" t="s">
        <v>17</v>
      </c>
      <c r="R52" s="3" t="s">
        <v>81</v>
      </c>
    </row>
    <row r="53" spans="1:18" x14ac:dyDescent="0.25">
      <c r="A53" s="3" t="s">
        <v>82</v>
      </c>
      <c r="B53" s="6">
        <v>85986465995</v>
      </c>
      <c r="L53" s="6" t="s">
        <v>9</v>
      </c>
      <c r="N53" s="6" t="s">
        <v>9</v>
      </c>
      <c r="O53" s="6" t="s">
        <v>9</v>
      </c>
      <c r="P53" s="6" t="s">
        <v>9</v>
      </c>
    </row>
    <row r="54" spans="1:18" x14ac:dyDescent="0.25">
      <c r="A54" s="3" t="s">
        <v>83</v>
      </c>
      <c r="B54" s="6">
        <v>85994019391</v>
      </c>
      <c r="D54" s="24" t="s">
        <v>20</v>
      </c>
      <c r="E54" s="6" t="s">
        <v>9</v>
      </c>
      <c r="F54" s="6" t="s">
        <v>9</v>
      </c>
      <c r="G54" s="6" t="s">
        <v>9</v>
      </c>
      <c r="H54" s="6" t="s">
        <v>9</v>
      </c>
      <c r="I54" s="6" t="s">
        <v>9</v>
      </c>
      <c r="J54" s="6" t="s">
        <v>9</v>
      </c>
      <c r="M54" s="6" t="s">
        <v>9</v>
      </c>
      <c r="N54" s="19" t="s">
        <v>16</v>
      </c>
      <c r="O54" s="19" t="s">
        <v>16</v>
      </c>
      <c r="P54" s="6" t="s">
        <v>9</v>
      </c>
      <c r="Q54" s="6" t="s">
        <v>17</v>
      </c>
      <c r="R54" s="3" t="s">
        <v>18</v>
      </c>
    </row>
    <row r="55" spans="1:18" x14ac:dyDescent="0.25">
      <c r="A55" s="3" t="s">
        <v>84</v>
      </c>
      <c r="B55" s="6">
        <v>85985526867</v>
      </c>
      <c r="D55" s="24" t="s">
        <v>20</v>
      </c>
      <c r="P55" s="19" t="s">
        <v>16</v>
      </c>
      <c r="Q55" s="6" t="s">
        <v>17</v>
      </c>
      <c r="R55" s="3" t="s">
        <v>85</v>
      </c>
    </row>
    <row r="56" spans="1:18" x14ac:dyDescent="0.25">
      <c r="A56" s="3" t="s">
        <v>86</v>
      </c>
      <c r="B56" s="6">
        <v>85991579502</v>
      </c>
      <c r="N56" s="6" t="s">
        <v>9</v>
      </c>
      <c r="O56" s="6" t="s">
        <v>9</v>
      </c>
      <c r="P56" s="19" t="s">
        <v>16</v>
      </c>
    </row>
    <row r="57" spans="1:18" x14ac:dyDescent="0.25">
      <c r="A57" s="3" t="s">
        <v>87</v>
      </c>
      <c r="B57" s="6">
        <v>85991579502</v>
      </c>
      <c r="N57" s="19" t="s">
        <v>16</v>
      </c>
      <c r="O57" s="19" t="s">
        <v>16</v>
      </c>
      <c r="P57" s="19" t="s">
        <v>16</v>
      </c>
      <c r="Q57" s="6" t="s">
        <v>17</v>
      </c>
      <c r="R57" s="3" t="s">
        <v>88</v>
      </c>
    </row>
    <row r="58" spans="1:18" x14ac:dyDescent="0.25">
      <c r="A58" s="3" t="s">
        <v>89</v>
      </c>
      <c r="B58" s="6">
        <v>8599447040</v>
      </c>
      <c r="D58" s="24" t="s">
        <v>20</v>
      </c>
      <c r="E58" s="6" t="s">
        <v>9</v>
      </c>
      <c r="N58" s="19" t="s">
        <v>16</v>
      </c>
      <c r="O58" s="19" t="s">
        <v>16</v>
      </c>
      <c r="P58" s="19" t="s">
        <v>16</v>
      </c>
      <c r="Q58" s="6" t="s">
        <v>17</v>
      </c>
      <c r="R58" s="3" t="s">
        <v>88</v>
      </c>
    </row>
    <row r="59" spans="1:18" x14ac:dyDescent="0.25">
      <c r="A59" s="3" t="s">
        <v>90</v>
      </c>
      <c r="B59" s="6">
        <v>85991186787</v>
      </c>
      <c r="M59" s="6" t="s">
        <v>9</v>
      </c>
      <c r="N59" s="19" t="s">
        <v>16</v>
      </c>
      <c r="O59" s="6" t="s">
        <v>9</v>
      </c>
      <c r="P59" s="6" t="s">
        <v>9</v>
      </c>
    </row>
    <row r="60" spans="1:18" x14ac:dyDescent="0.25">
      <c r="A60" s="3" t="s">
        <v>91</v>
      </c>
      <c r="B60" s="6">
        <v>85992833418</v>
      </c>
      <c r="M60" s="6" t="s">
        <v>9</v>
      </c>
      <c r="N60" s="19" t="s">
        <v>16</v>
      </c>
      <c r="O60" s="19" t="s">
        <v>16</v>
      </c>
      <c r="P60" s="6" t="s">
        <v>9</v>
      </c>
      <c r="Q60" s="6" t="s">
        <v>17</v>
      </c>
      <c r="R60" s="3" t="s">
        <v>92</v>
      </c>
    </row>
    <row r="61" spans="1:18" x14ac:dyDescent="0.25">
      <c r="A61" s="3" t="s">
        <v>93</v>
      </c>
      <c r="B61" s="6">
        <v>85997649845</v>
      </c>
      <c r="D61" s="24" t="s">
        <v>13</v>
      </c>
      <c r="J61" s="6" t="s">
        <v>9</v>
      </c>
      <c r="K61" s="6" t="s">
        <v>9</v>
      </c>
      <c r="L61" s="6" t="s">
        <v>9</v>
      </c>
      <c r="M61" s="6" t="s">
        <v>9</v>
      </c>
      <c r="N61" s="19" t="s">
        <v>16</v>
      </c>
      <c r="O61" s="6" t="s">
        <v>9</v>
      </c>
      <c r="P61" s="6" t="s">
        <v>9</v>
      </c>
    </row>
    <row r="62" spans="1:18" x14ac:dyDescent="0.25">
      <c r="A62" s="3" t="s">
        <v>94</v>
      </c>
      <c r="D62" s="24" t="s">
        <v>95</v>
      </c>
      <c r="G62" s="6" t="s">
        <v>9</v>
      </c>
      <c r="I62" s="6" t="s">
        <v>9</v>
      </c>
      <c r="J62" s="6" t="s">
        <v>9</v>
      </c>
      <c r="K62" s="6" t="s">
        <v>9</v>
      </c>
      <c r="L62" s="6" t="s">
        <v>9</v>
      </c>
      <c r="M62" s="6" t="s">
        <v>9</v>
      </c>
      <c r="N62" s="6" t="s">
        <v>9</v>
      </c>
      <c r="O62" s="6" t="s">
        <v>9</v>
      </c>
      <c r="P62" s="19" t="s">
        <v>16</v>
      </c>
    </row>
    <row r="63" spans="1:18" x14ac:dyDescent="0.25">
      <c r="A63" s="3" t="s">
        <v>96</v>
      </c>
      <c r="D63" s="24" t="s">
        <v>20</v>
      </c>
      <c r="E63" s="6" t="s">
        <v>9</v>
      </c>
      <c r="G63" s="6" t="s">
        <v>9</v>
      </c>
      <c r="I63" s="6" t="s">
        <v>9</v>
      </c>
      <c r="J63" s="6" t="s">
        <v>9</v>
      </c>
      <c r="L63" s="6" t="s">
        <v>9</v>
      </c>
      <c r="M63" s="6" t="s">
        <v>9</v>
      </c>
      <c r="N63" s="6" t="s">
        <v>9</v>
      </c>
      <c r="O63" s="19" t="s">
        <v>16</v>
      </c>
      <c r="P63" s="6" t="s">
        <v>9</v>
      </c>
      <c r="Q63" s="6" t="s">
        <v>21</v>
      </c>
    </row>
    <row r="64" spans="1:18" x14ac:dyDescent="0.25">
      <c r="A64" s="3" t="s">
        <v>97</v>
      </c>
      <c r="B64" s="6">
        <v>85999861244</v>
      </c>
      <c r="D64" s="27" t="s">
        <v>11</v>
      </c>
      <c r="E64" s="6" t="s">
        <v>9</v>
      </c>
      <c r="F64" s="6" t="s">
        <v>9</v>
      </c>
      <c r="G64" s="6" t="s">
        <v>9</v>
      </c>
      <c r="H64" s="6" t="s">
        <v>9</v>
      </c>
      <c r="I64" s="6" t="s">
        <v>9</v>
      </c>
      <c r="J64" s="6" t="s">
        <v>9</v>
      </c>
      <c r="K64" s="6" t="s">
        <v>9</v>
      </c>
      <c r="L64" s="6" t="s">
        <v>9</v>
      </c>
      <c r="N64" s="19" t="s">
        <v>16</v>
      </c>
      <c r="O64" s="6" t="s">
        <v>9</v>
      </c>
      <c r="P64" s="6" t="s">
        <v>9</v>
      </c>
    </row>
    <row r="65" spans="1:19" x14ac:dyDescent="0.25">
      <c r="A65" s="3" t="s">
        <v>98</v>
      </c>
      <c r="B65" s="6">
        <v>85985424242</v>
      </c>
      <c r="J65" s="6" t="s">
        <v>9</v>
      </c>
      <c r="K65" s="6" t="s">
        <v>9</v>
      </c>
      <c r="L65" s="6" t="s">
        <v>9</v>
      </c>
      <c r="M65" s="6" t="s">
        <v>9</v>
      </c>
      <c r="N65" s="19" t="s">
        <v>16</v>
      </c>
      <c r="O65" s="6" t="s">
        <v>9</v>
      </c>
      <c r="P65" s="19" t="s">
        <v>16</v>
      </c>
    </row>
    <row r="66" spans="1:19" x14ac:dyDescent="0.25">
      <c r="A66" s="3" t="s">
        <v>99</v>
      </c>
      <c r="B66" s="6">
        <v>85987483121</v>
      </c>
      <c r="N66" s="6" t="s">
        <v>9</v>
      </c>
      <c r="O66" s="19" t="s">
        <v>16</v>
      </c>
      <c r="P66" s="6" t="s">
        <v>9</v>
      </c>
      <c r="Q66" s="6" t="s">
        <v>21</v>
      </c>
    </row>
    <row r="67" spans="1:19" x14ac:dyDescent="0.25">
      <c r="A67" s="3" t="s">
        <v>100</v>
      </c>
      <c r="B67" s="6">
        <v>85997872897</v>
      </c>
    </row>
    <row r="68" spans="1:19" x14ac:dyDescent="0.25">
      <c r="A68" s="3" t="s">
        <v>101</v>
      </c>
      <c r="B68" s="6">
        <v>85998482047</v>
      </c>
      <c r="D68" s="27" t="s">
        <v>11</v>
      </c>
      <c r="E68" s="6" t="s">
        <v>9</v>
      </c>
      <c r="F68" s="6" t="s">
        <v>9</v>
      </c>
      <c r="G68" s="6" t="s">
        <v>9</v>
      </c>
      <c r="H68" s="6" t="s">
        <v>9</v>
      </c>
      <c r="I68" s="6" t="s">
        <v>9</v>
      </c>
      <c r="J68" s="6" t="s">
        <v>9</v>
      </c>
      <c r="K68" s="6" t="s">
        <v>9</v>
      </c>
      <c r="L68" s="6" t="s">
        <v>9</v>
      </c>
      <c r="M68" s="6" t="s">
        <v>9</v>
      </c>
      <c r="N68" s="6" t="s">
        <v>9</v>
      </c>
      <c r="O68" s="19" t="s">
        <v>16</v>
      </c>
      <c r="P68" s="6" t="s">
        <v>9</v>
      </c>
      <c r="Q68" s="6" t="s">
        <v>21</v>
      </c>
      <c r="R68" s="3" t="s">
        <v>102</v>
      </c>
    </row>
    <row r="69" spans="1:19" x14ac:dyDescent="0.25">
      <c r="A69" s="18" t="s">
        <v>103</v>
      </c>
      <c r="B69" s="8">
        <v>85999478074</v>
      </c>
      <c r="C69" s="8" t="s">
        <v>28</v>
      </c>
      <c r="D69" s="25" t="s">
        <v>11</v>
      </c>
      <c r="E69" s="8" t="s">
        <v>9</v>
      </c>
      <c r="F69" s="8" t="s">
        <v>9</v>
      </c>
      <c r="G69" s="8" t="s">
        <v>9</v>
      </c>
      <c r="H69" s="8" t="s">
        <v>9</v>
      </c>
      <c r="I69" s="8" t="s">
        <v>9</v>
      </c>
      <c r="J69" s="8"/>
      <c r="K69" s="8"/>
      <c r="L69" s="8"/>
      <c r="M69" s="8"/>
      <c r="N69" s="8" t="s">
        <v>9</v>
      </c>
      <c r="O69" s="28" t="s">
        <v>16</v>
      </c>
      <c r="P69" s="8" t="s">
        <v>9</v>
      </c>
      <c r="Q69" s="8" t="s">
        <v>21</v>
      </c>
      <c r="R69" s="18"/>
      <c r="S69" s="18"/>
    </row>
    <row r="70" spans="1:19" x14ac:dyDescent="0.25">
      <c r="A70" s="3" t="s">
        <v>104</v>
      </c>
      <c r="B70" s="6">
        <v>85989723811</v>
      </c>
      <c r="M70" s="6" t="s">
        <v>9</v>
      </c>
      <c r="N70" s="6" t="s">
        <v>9</v>
      </c>
      <c r="O70" s="6" t="s">
        <v>9</v>
      </c>
      <c r="P70" s="6" t="s">
        <v>9</v>
      </c>
    </row>
    <row r="71" spans="1:19" x14ac:dyDescent="0.25">
      <c r="A71" s="3" t="s">
        <v>105</v>
      </c>
      <c r="P71" s="6" t="s">
        <v>9</v>
      </c>
      <c r="Q71" s="6" t="s">
        <v>17</v>
      </c>
      <c r="R71" s="3" t="s">
        <v>32</v>
      </c>
    </row>
    <row r="72" spans="1:19" x14ac:dyDescent="0.25">
      <c r="A72" s="3" t="s">
        <v>106</v>
      </c>
      <c r="B72" s="6">
        <v>85987606529</v>
      </c>
      <c r="D72" s="27" t="s">
        <v>11</v>
      </c>
      <c r="E72" s="6" t="s">
        <v>9</v>
      </c>
      <c r="N72" s="6" t="s">
        <v>9</v>
      </c>
      <c r="O72" s="6" t="s">
        <v>9</v>
      </c>
      <c r="P72" s="6" t="s">
        <v>9</v>
      </c>
    </row>
    <row r="73" spans="1:19" x14ac:dyDescent="0.25">
      <c r="A73" s="3" t="s">
        <v>107</v>
      </c>
      <c r="B73" s="6">
        <v>85985372615</v>
      </c>
      <c r="J73" s="6" t="s">
        <v>9</v>
      </c>
      <c r="K73" s="6" t="s">
        <v>9</v>
      </c>
      <c r="L73" s="6" t="s">
        <v>9</v>
      </c>
      <c r="M73" s="6" t="s">
        <v>9</v>
      </c>
      <c r="N73" s="19" t="s">
        <v>16</v>
      </c>
      <c r="O73" s="19" t="s">
        <v>16</v>
      </c>
      <c r="P73" s="6" t="s">
        <v>9</v>
      </c>
      <c r="Q73" s="6" t="s">
        <v>17</v>
      </c>
      <c r="R73" s="3" t="s">
        <v>88</v>
      </c>
    </row>
    <row r="74" spans="1:19" x14ac:dyDescent="0.25">
      <c r="A74" s="18" t="s">
        <v>108</v>
      </c>
      <c r="B74" s="8">
        <v>85996591240</v>
      </c>
      <c r="C74" s="8" t="s">
        <v>28</v>
      </c>
      <c r="D74" s="25" t="s">
        <v>11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 t="s">
        <v>9</v>
      </c>
      <c r="Q74" s="16" t="s">
        <v>17</v>
      </c>
      <c r="R74" s="18" t="s">
        <v>32</v>
      </c>
      <c r="S74" s="18"/>
    </row>
    <row r="75" spans="1:19" x14ac:dyDescent="0.25">
      <c r="A75" s="3" t="s">
        <v>109</v>
      </c>
      <c r="M75" s="6" t="s">
        <v>9</v>
      </c>
      <c r="N75" s="6" t="s">
        <v>9</v>
      </c>
      <c r="O75" s="19" t="s">
        <v>16</v>
      </c>
      <c r="P75" s="19" t="s">
        <v>16</v>
      </c>
      <c r="Q75" s="6" t="s">
        <v>21</v>
      </c>
    </row>
    <row r="76" spans="1:19" x14ac:dyDescent="0.25">
      <c r="A76" s="3" t="s">
        <v>110</v>
      </c>
      <c r="B76" s="6">
        <v>85988150326</v>
      </c>
      <c r="D76" s="24" t="s">
        <v>20</v>
      </c>
      <c r="L76" s="6" t="s">
        <v>9</v>
      </c>
      <c r="M76" s="6" t="s">
        <v>9</v>
      </c>
      <c r="N76" s="6" t="s">
        <v>9</v>
      </c>
      <c r="O76" s="6" t="s">
        <v>9</v>
      </c>
      <c r="P76" s="6" t="s">
        <v>9</v>
      </c>
    </row>
    <row r="77" spans="1:19" x14ac:dyDescent="0.25">
      <c r="A77" s="3" t="s">
        <v>111</v>
      </c>
      <c r="B77" s="6">
        <v>85994516590</v>
      </c>
      <c r="D77" s="24" t="s">
        <v>20</v>
      </c>
      <c r="H77" s="6" t="s">
        <v>9</v>
      </c>
      <c r="I77" s="6" t="s">
        <v>9</v>
      </c>
      <c r="J77" s="6" t="s">
        <v>9</v>
      </c>
      <c r="N77" s="6" t="s">
        <v>9</v>
      </c>
      <c r="O77" s="19" t="s">
        <v>16</v>
      </c>
      <c r="P77" s="19" t="s">
        <v>16</v>
      </c>
      <c r="Q77" s="6" t="s">
        <v>21</v>
      </c>
    </row>
    <row r="78" spans="1:19" x14ac:dyDescent="0.25">
      <c r="A78" s="3" t="s">
        <v>112</v>
      </c>
      <c r="B78" s="6">
        <v>85992651077</v>
      </c>
      <c r="D78" s="24" t="s">
        <v>20</v>
      </c>
      <c r="P78" s="6" t="s">
        <v>9</v>
      </c>
      <c r="Q78" s="6" t="s">
        <v>17</v>
      </c>
      <c r="R78" s="3" t="s">
        <v>18</v>
      </c>
    </row>
    <row r="79" spans="1:19" x14ac:dyDescent="0.25">
      <c r="A79" s="3" t="s">
        <v>113</v>
      </c>
      <c r="B79" s="6">
        <v>85988780579</v>
      </c>
      <c r="D79" s="24" t="s">
        <v>20</v>
      </c>
      <c r="H79" s="6" t="s">
        <v>9</v>
      </c>
      <c r="I79" s="6" t="s">
        <v>9</v>
      </c>
      <c r="J79" s="6" t="s">
        <v>9</v>
      </c>
      <c r="M79" s="6" t="s">
        <v>9</v>
      </c>
      <c r="N79" s="6" t="s">
        <v>9</v>
      </c>
      <c r="O79" s="6" t="s">
        <v>9</v>
      </c>
      <c r="P79" s="19" t="s">
        <v>16</v>
      </c>
    </row>
    <row r="80" spans="1:19" x14ac:dyDescent="0.25">
      <c r="A80" s="3" t="s">
        <v>114</v>
      </c>
      <c r="B80" s="6">
        <v>85992502845</v>
      </c>
      <c r="D80" s="27" t="s">
        <v>11</v>
      </c>
      <c r="E80" s="6" t="s">
        <v>9</v>
      </c>
      <c r="M80" s="6" t="s">
        <v>9</v>
      </c>
      <c r="N80" s="19" t="s">
        <v>16</v>
      </c>
      <c r="O80" s="19" t="s">
        <v>16</v>
      </c>
      <c r="P80" s="6" t="s">
        <v>9</v>
      </c>
      <c r="Q80" s="16" t="s">
        <v>17</v>
      </c>
      <c r="R80" s="3" t="s">
        <v>18</v>
      </c>
    </row>
    <row r="81" spans="1:19" x14ac:dyDescent="0.25">
      <c r="A81" s="3" t="s">
        <v>115</v>
      </c>
      <c r="B81" s="6">
        <v>85999625676</v>
      </c>
      <c r="D81" s="24" t="s">
        <v>20</v>
      </c>
      <c r="E81" s="6" t="s">
        <v>9</v>
      </c>
      <c r="L81" s="6" t="s">
        <v>9</v>
      </c>
      <c r="M81" s="6" t="s">
        <v>9</v>
      </c>
      <c r="N81" s="6" t="s">
        <v>9</v>
      </c>
      <c r="O81" s="6" t="s">
        <v>9</v>
      </c>
      <c r="P81" s="19" t="s">
        <v>16</v>
      </c>
    </row>
    <row r="82" spans="1:19" x14ac:dyDescent="0.25">
      <c r="A82" s="3" t="s">
        <v>116</v>
      </c>
      <c r="D82" s="24" t="s">
        <v>20</v>
      </c>
      <c r="J82" s="6" t="s">
        <v>9</v>
      </c>
      <c r="K82" s="6" t="s">
        <v>9</v>
      </c>
      <c r="L82" s="6" t="s">
        <v>9</v>
      </c>
      <c r="M82" s="6" t="s">
        <v>9</v>
      </c>
      <c r="N82" s="19" t="s">
        <v>16</v>
      </c>
      <c r="O82" s="6" t="s">
        <v>9</v>
      </c>
      <c r="P82" s="19" t="s">
        <v>16</v>
      </c>
    </row>
    <row r="83" spans="1:19" x14ac:dyDescent="0.25">
      <c r="A83" s="3" t="s">
        <v>117</v>
      </c>
      <c r="B83" s="6">
        <v>85987913466</v>
      </c>
      <c r="D83" s="24" t="s">
        <v>20</v>
      </c>
      <c r="E83" s="6" t="s">
        <v>9</v>
      </c>
      <c r="N83" s="6" t="s">
        <v>9</v>
      </c>
      <c r="O83" s="19" t="s">
        <v>16</v>
      </c>
      <c r="P83" s="19" t="s">
        <v>16</v>
      </c>
      <c r="Q83" s="6" t="s">
        <v>21</v>
      </c>
    </row>
    <row r="84" spans="1:19" x14ac:dyDescent="0.25">
      <c r="A84" s="3" t="s">
        <v>118</v>
      </c>
      <c r="B84" s="6">
        <v>85992991581</v>
      </c>
      <c r="N84" s="6" t="s">
        <v>9</v>
      </c>
      <c r="O84" s="19" t="s">
        <v>16</v>
      </c>
      <c r="P84" s="6" t="s">
        <v>9</v>
      </c>
      <c r="Q84" s="6" t="s">
        <v>21</v>
      </c>
    </row>
    <row r="85" spans="1:19" x14ac:dyDescent="0.25">
      <c r="A85" s="3" t="s">
        <v>119</v>
      </c>
      <c r="B85" s="6">
        <v>85992443123</v>
      </c>
      <c r="L85" s="6" t="s">
        <v>9</v>
      </c>
      <c r="N85" s="6" t="s">
        <v>9</v>
      </c>
      <c r="O85" s="6" t="s">
        <v>9</v>
      </c>
      <c r="P85" s="19" t="s">
        <v>16</v>
      </c>
    </row>
    <row r="86" spans="1:19" x14ac:dyDescent="0.25">
      <c r="A86" s="3" t="s">
        <v>120</v>
      </c>
      <c r="B86" s="6">
        <v>85991152038</v>
      </c>
      <c r="D86" s="24" t="s">
        <v>20</v>
      </c>
      <c r="P86" s="6" t="s">
        <v>9</v>
      </c>
      <c r="Q86" s="6" t="s">
        <v>17</v>
      </c>
      <c r="R86" s="3" t="s">
        <v>121</v>
      </c>
    </row>
    <row r="87" spans="1:19" x14ac:dyDescent="0.25">
      <c r="A87" s="18" t="s">
        <v>122</v>
      </c>
      <c r="B87" s="8">
        <v>85992809861</v>
      </c>
      <c r="C87" s="8" t="s">
        <v>28</v>
      </c>
      <c r="D87" s="25" t="s">
        <v>11</v>
      </c>
      <c r="E87" s="8" t="s">
        <v>9</v>
      </c>
      <c r="F87" s="8"/>
      <c r="G87" s="8"/>
      <c r="H87" s="8"/>
      <c r="I87" s="8"/>
      <c r="J87" s="8" t="s">
        <v>9</v>
      </c>
      <c r="K87" s="8" t="s">
        <v>9</v>
      </c>
      <c r="L87" s="8" t="s">
        <v>9</v>
      </c>
      <c r="M87" s="8"/>
      <c r="N87" s="8" t="s">
        <v>9</v>
      </c>
      <c r="O87" s="8" t="s">
        <v>9</v>
      </c>
      <c r="P87" s="8" t="s">
        <v>9</v>
      </c>
      <c r="Q87" s="8"/>
      <c r="R87" s="18"/>
      <c r="S87" s="18"/>
    </row>
    <row r="88" spans="1:19" x14ac:dyDescent="0.25">
      <c r="A88" s="3" t="s">
        <v>123</v>
      </c>
      <c r="B88" s="6">
        <v>85999248124</v>
      </c>
      <c r="D88" s="24" t="s">
        <v>13</v>
      </c>
      <c r="J88" s="6" t="s">
        <v>9</v>
      </c>
      <c r="K88" s="6" t="s">
        <v>9</v>
      </c>
      <c r="L88" s="6" t="s">
        <v>9</v>
      </c>
      <c r="M88" s="6" t="s">
        <v>9</v>
      </c>
      <c r="N88" s="6" t="s">
        <v>9</v>
      </c>
      <c r="O88" s="6" t="s">
        <v>9</v>
      </c>
      <c r="P88" s="19" t="s">
        <v>16</v>
      </c>
    </row>
    <row r="89" spans="1:19" x14ac:dyDescent="0.25">
      <c r="A89" s="3" t="s">
        <v>124</v>
      </c>
      <c r="B89" s="6">
        <v>85987977559</v>
      </c>
      <c r="D89" s="24" t="s">
        <v>20</v>
      </c>
      <c r="E89" s="6" t="s">
        <v>9</v>
      </c>
      <c r="N89" s="6" t="s">
        <v>9</v>
      </c>
      <c r="O89" s="19" t="s">
        <v>16</v>
      </c>
      <c r="P89" s="19" t="s">
        <v>16</v>
      </c>
      <c r="Q89" s="6" t="s">
        <v>21</v>
      </c>
    </row>
    <row r="90" spans="1:19" x14ac:dyDescent="0.25">
      <c r="A90" s="3" t="s">
        <v>125</v>
      </c>
      <c r="B90" s="6">
        <v>85992530725</v>
      </c>
      <c r="L90" s="6" t="s">
        <v>9</v>
      </c>
      <c r="M90" s="6" t="s">
        <v>9</v>
      </c>
      <c r="N90" s="19" t="s">
        <v>16</v>
      </c>
      <c r="O90" s="6" t="s">
        <v>9</v>
      </c>
      <c r="P90" s="6" t="s">
        <v>9</v>
      </c>
    </row>
    <row r="91" spans="1:19" x14ac:dyDescent="0.25">
      <c r="A91" s="3" t="s">
        <v>126</v>
      </c>
      <c r="B91" s="6">
        <v>85988546147</v>
      </c>
      <c r="D91" s="24" t="s">
        <v>20</v>
      </c>
      <c r="E91" s="6" t="s">
        <v>9</v>
      </c>
      <c r="N91" s="6" t="s">
        <v>9</v>
      </c>
      <c r="O91" s="19" t="s">
        <v>16</v>
      </c>
      <c r="P91" s="19" t="s">
        <v>16</v>
      </c>
      <c r="Q91" s="6" t="s">
        <v>21</v>
      </c>
    </row>
    <row r="92" spans="1:19" x14ac:dyDescent="0.25">
      <c r="A92" s="3" t="s">
        <v>127</v>
      </c>
      <c r="B92" s="6">
        <v>85992376029</v>
      </c>
      <c r="N92" s="6" t="s">
        <v>9</v>
      </c>
      <c r="O92" s="19" t="s">
        <v>16</v>
      </c>
      <c r="P92" s="6" t="s">
        <v>9</v>
      </c>
      <c r="Q92" s="6" t="s">
        <v>21</v>
      </c>
    </row>
    <row r="93" spans="1:19" x14ac:dyDescent="0.25">
      <c r="A93" s="3" t="s">
        <v>128</v>
      </c>
      <c r="P93" s="19" t="s">
        <v>16</v>
      </c>
    </row>
    <row r="94" spans="1:19" x14ac:dyDescent="0.25">
      <c r="A94" s="3" t="s">
        <v>129</v>
      </c>
      <c r="B94" s="6">
        <v>85992195726</v>
      </c>
      <c r="D94" s="24" t="s">
        <v>13</v>
      </c>
      <c r="E94" s="6" t="s">
        <v>9</v>
      </c>
      <c r="J94" s="6" t="s">
        <v>9</v>
      </c>
      <c r="K94" s="6" t="s">
        <v>9</v>
      </c>
      <c r="L94" s="6" t="s">
        <v>9</v>
      </c>
      <c r="M94" s="6" t="s">
        <v>9</v>
      </c>
      <c r="N94" s="6" t="s">
        <v>9</v>
      </c>
      <c r="O94" s="6" t="s">
        <v>9</v>
      </c>
      <c r="P94" s="6" t="s">
        <v>9</v>
      </c>
    </row>
    <row r="95" spans="1:19" x14ac:dyDescent="0.25">
      <c r="A95" s="3" t="s">
        <v>130</v>
      </c>
      <c r="B95" s="6">
        <v>85987952726</v>
      </c>
      <c r="P95" s="6" t="s">
        <v>9</v>
      </c>
    </row>
    <row r="96" spans="1:19" x14ac:dyDescent="0.25">
      <c r="A96" s="3" t="s">
        <v>131</v>
      </c>
      <c r="D96" s="24" t="s">
        <v>20</v>
      </c>
      <c r="M96" s="6" t="s">
        <v>9</v>
      </c>
      <c r="N96" s="19" t="s">
        <v>16</v>
      </c>
      <c r="O96" s="6" t="s">
        <v>9</v>
      </c>
      <c r="P96" s="6" t="s">
        <v>9</v>
      </c>
    </row>
    <row r="97" spans="1:19" x14ac:dyDescent="0.25">
      <c r="A97" s="3" t="s">
        <v>132</v>
      </c>
      <c r="B97" s="6">
        <v>85992459844</v>
      </c>
      <c r="D97" s="27" t="s">
        <v>11</v>
      </c>
      <c r="E97" s="6" t="s">
        <v>9</v>
      </c>
      <c r="F97" s="6" t="s">
        <v>9</v>
      </c>
      <c r="G97" s="6" t="s">
        <v>9</v>
      </c>
      <c r="H97" s="6" t="s">
        <v>9</v>
      </c>
      <c r="I97" s="6" t="s">
        <v>9</v>
      </c>
      <c r="J97" s="6" t="s">
        <v>9</v>
      </c>
      <c r="M97" s="6" t="s">
        <v>9</v>
      </c>
      <c r="N97" s="6" t="s">
        <v>9</v>
      </c>
      <c r="O97" s="6" t="s">
        <v>9</v>
      </c>
      <c r="P97" s="19" t="s">
        <v>16</v>
      </c>
    </row>
    <row r="98" spans="1:19" x14ac:dyDescent="0.25">
      <c r="A98" s="3" t="s">
        <v>133</v>
      </c>
      <c r="D98" s="24" t="s">
        <v>13</v>
      </c>
      <c r="P98" s="19" t="s">
        <v>16</v>
      </c>
      <c r="Q98" s="6" t="s">
        <v>17</v>
      </c>
      <c r="R98" s="3" t="s">
        <v>32</v>
      </c>
    </row>
    <row r="99" spans="1:19" x14ac:dyDescent="0.25">
      <c r="A99" s="18" t="s">
        <v>134</v>
      </c>
      <c r="B99" s="8">
        <v>85992436222</v>
      </c>
      <c r="C99" s="8" t="s">
        <v>28</v>
      </c>
      <c r="D99" s="25" t="s">
        <v>11</v>
      </c>
      <c r="E99" s="8" t="s">
        <v>9</v>
      </c>
      <c r="F99" s="8" t="s">
        <v>9</v>
      </c>
      <c r="G99" s="8" t="s">
        <v>9</v>
      </c>
      <c r="H99" s="8" t="s">
        <v>9</v>
      </c>
      <c r="I99" s="8" t="s">
        <v>9</v>
      </c>
      <c r="J99" s="8" t="s">
        <v>9</v>
      </c>
      <c r="K99" s="8" t="s">
        <v>9</v>
      </c>
      <c r="L99" s="8" t="s">
        <v>9</v>
      </c>
      <c r="M99" s="8" t="s">
        <v>9</v>
      </c>
      <c r="N99" s="8" t="s">
        <v>9</v>
      </c>
      <c r="O99" s="8" t="s">
        <v>9</v>
      </c>
      <c r="P99" s="8" t="s">
        <v>9</v>
      </c>
      <c r="Q99" s="8"/>
      <c r="R99" s="18"/>
      <c r="S99" s="18"/>
    </row>
    <row r="100" spans="1:19" x14ac:dyDescent="0.25">
      <c r="A100" s="3" t="s">
        <v>135</v>
      </c>
      <c r="B100" s="6">
        <v>85997400964</v>
      </c>
      <c r="D100" s="24" t="s">
        <v>20</v>
      </c>
      <c r="E100" s="6" t="s">
        <v>9</v>
      </c>
      <c r="F100" s="6" t="s">
        <v>9</v>
      </c>
      <c r="G100" s="6" t="s">
        <v>9</v>
      </c>
      <c r="H100" s="6" t="s">
        <v>9</v>
      </c>
      <c r="I100" s="6" t="s">
        <v>9</v>
      </c>
      <c r="J100" s="6" t="s">
        <v>9</v>
      </c>
      <c r="K100" s="6" t="s">
        <v>9</v>
      </c>
      <c r="L100" s="6" t="s">
        <v>9</v>
      </c>
      <c r="M100" s="6" t="s">
        <v>9</v>
      </c>
      <c r="N100" s="6" t="s">
        <v>9</v>
      </c>
      <c r="O100" s="6" t="s">
        <v>9</v>
      </c>
      <c r="P100" s="6" t="s">
        <v>9</v>
      </c>
    </row>
    <row r="101" spans="1:19" x14ac:dyDescent="0.25">
      <c r="A101" s="3" t="s">
        <v>136</v>
      </c>
      <c r="N101" s="19" t="s">
        <v>16</v>
      </c>
      <c r="O101" s="19" t="s">
        <v>16</v>
      </c>
      <c r="P101" s="19" t="s">
        <v>16</v>
      </c>
      <c r="Q101" s="6" t="s">
        <v>17</v>
      </c>
      <c r="R101" s="3" t="s">
        <v>32</v>
      </c>
    </row>
    <row r="102" spans="1:19" x14ac:dyDescent="0.25">
      <c r="A102" s="3" t="s">
        <v>137</v>
      </c>
      <c r="B102" s="6">
        <v>85992107868</v>
      </c>
      <c r="N102" s="6" t="s">
        <v>9</v>
      </c>
      <c r="O102" s="6" t="s">
        <v>9</v>
      </c>
      <c r="P102" s="6" t="s">
        <v>9</v>
      </c>
    </row>
    <row r="103" spans="1:19" x14ac:dyDescent="0.25">
      <c r="A103" s="18" t="s">
        <v>138</v>
      </c>
      <c r="B103" s="8">
        <v>85988714047</v>
      </c>
      <c r="C103" s="8" t="s">
        <v>28</v>
      </c>
      <c r="D103" s="25" t="s">
        <v>11</v>
      </c>
      <c r="E103" s="8"/>
      <c r="F103" s="8"/>
      <c r="G103" s="8"/>
      <c r="H103" s="8"/>
      <c r="I103" s="8"/>
      <c r="J103" s="8" t="s">
        <v>9</v>
      </c>
      <c r="K103" s="8" t="s">
        <v>9</v>
      </c>
      <c r="L103" s="8" t="s">
        <v>9</v>
      </c>
      <c r="M103" s="8"/>
      <c r="N103" s="8" t="s">
        <v>9</v>
      </c>
      <c r="O103" s="8" t="s">
        <v>9</v>
      </c>
      <c r="P103" s="8" t="s">
        <v>9</v>
      </c>
      <c r="Q103" s="8"/>
      <c r="R103" s="18"/>
      <c r="S103" s="18"/>
    </row>
    <row r="104" spans="1:19" x14ac:dyDescent="0.25">
      <c r="A104" s="3" t="s">
        <v>139</v>
      </c>
      <c r="B104" s="6">
        <v>85999382647</v>
      </c>
      <c r="D104" s="24" t="s">
        <v>13</v>
      </c>
      <c r="E104" s="6" t="s">
        <v>9</v>
      </c>
      <c r="F104" s="6" t="s">
        <v>9</v>
      </c>
      <c r="G104" s="6" t="s">
        <v>9</v>
      </c>
      <c r="H104" s="6" t="s">
        <v>9</v>
      </c>
      <c r="I104" s="6" t="s">
        <v>9</v>
      </c>
      <c r="J104" s="6" t="s">
        <v>9</v>
      </c>
      <c r="K104" s="6" t="s">
        <v>9</v>
      </c>
      <c r="L104" s="6" t="s">
        <v>9</v>
      </c>
      <c r="M104" s="6" t="s">
        <v>9</v>
      </c>
      <c r="N104" s="6" t="s">
        <v>9</v>
      </c>
      <c r="O104" s="6" t="s">
        <v>9</v>
      </c>
      <c r="P104" s="6" t="s">
        <v>9</v>
      </c>
    </row>
    <row r="105" spans="1:19" x14ac:dyDescent="0.25">
      <c r="A105" s="3" t="s">
        <v>140</v>
      </c>
      <c r="B105" s="6">
        <v>85994265274</v>
      </c>
      <c r="P105" s="6" t="s">
        <v>9</v>
      </c>
    </row>
    <row r="106" spans="1:19" x14ac:dyDescent="0.25">
      <c r="A106" s="3" t="s">
        <v>141</v>
      </c>
      <c r="L106" s="6" t="s">
        <v>9</v>
      </c>
      <c r="M106" s="6" t="s">
        <v>9</v>
      </c>
      <c r="N106" s="6" t="s">
        <v>9</v>
      </c>
      <c r="O106" s="6" t="s">
        <v>9</v>
      </c>
      <c r="P106" s="6" t="s">
        <v>9</v>
      </c>
    </row>
    <row r="107" spans="1:19" x14ac:dyDescent="0.25">
      <c r="A107" s="3" t="s">
        <v>142</v>
      </c>
      <c r="B107" s="6">
        <v>85989943568</v>
      </c>
      <c r="D107" s="24" t="s">
        <v>13</v>
      </c>
      <c r="J107" s="6" t="s">
        <v>9</v>
      </c>
      <c r="K107" s="6" t="s">
        <v>9</v>
      </c>
      <c r="L107" s="6" t="s">
        <v>9</v>
      </c>
      <c r="N107" s="19" t="s">
        <v>16</v>
      </c>
      <c r="O107" s="6" t="s">
        <v>9</v>
      </c>
      <c r="P107" s="6" t="s">
        <v>9</v>
      </c>
    </row>
    <row r="108" spans="1:19" x14ac:dyDescent="0.25">
      <c r="A108" s="3" t="s">
        <v>143</v>
      </c>
      <c r="B108" s="6">
        <v>85985984799</v>
      </c>
      <c r="D108" s="24" t="s">
        <v>20</v>
      </c>
      <c r="E108" s="6" t="s">
        <v>9</v>
      </c>
      <c r="G108" s="6" t="s">
        <v>9</v>
      </c>
      <c r="H108" s="6" t="s">
        <v>9</v>
      </c>
      <c r="I108" s="6" t="s">
        <v>9</v>
      </c>
      <c r="J108" s="6" t="s">
        <v>9</v>
      </c>
      <c r="N108" s="19" t="s">
        <v>16</v>
      </c>
      <c r="O108" s="6" t="s">
        <v>9</v>
      </c>
      <c r="P108" s="6" t="s">
        <v>9</v>
      </c>
    </row>
    <row r="109" spans="1:19" x14ac:dyDescent="0.25">
      <c r="A109" s="3" t="s">
        <v>144</v>
      </c>
      <c r="B109" s="6">
        <v>85994258072</v>
      </c>
      <c r="D109" s="27" t="s">
        <v>11</v>
      </c>
      <c r="E109" s="6" t="s">
        <v>9</v>
      </c>
      <c r="F109" s="6" t="s">
        <v>9</v>
      </c>
      <c r="G109" s="6" t="s">
        <v>9</v>
      </c>
      <c r="I109" s="6" t="s">
        <v>9</v>
      </c>
      <c r="J109" s="6" t="s">
        <v>9</v>
      </c>
      <c r="K109" s="6" t="s">
        <v>9</v>
      </c>
      <c r="L109" s="6" t="s">
        <v>9</v>
      </c>
      <c r="M109" s="6" t="s">
        <v>9</v>
      </c>
      <c r="N109" s="6" t="s">
        <v>23</v>
      </c>
      <c r="O109" s="19" t="s">
        <v>16</v>
      </c>
      <c r="P109" s="6" t="s">
        <v>9</v>
      </c>
      <c r="Q109" s="16" t="s">
        <v>17</v>
      </c>
      <c r="R109" s="3" t="s">
        <v>145</v>
      </c>
    </row>
    <row r="110" spans="1:19" x14ac:dyDescent="0.25">
      <c r="A110" s="3" t="s">
        <v>146</v>
      </c>
      <c r="B110" s="6">
        <v>85981024351</v>
      </c>
      <c r="N110" s="6" t="s">
        <v>9</v>
      </c>
      <c r="O110" s="6" t="s">
        <v>9</v>
      </c>
      <c r="P110" s="6" t="s">
        <v>9</v>
      </c>
    </row>
    <row r="111" spans="1:19" x14ac:dyDescent="0.25">
      <c r="A111" s="18" t="s">
        <v>147</v>
      </c>
      <c r="B111" s="8">
        <v>85992442476</v>
      </c>
      <c r="C111" s="8" t="s">
        <v>28</v>
      </c>
      <c r="D111" s="25" t="s">
        <v>11</v>
      </c>
      <c r="E111" s="8" t="s">
        <v>9</v>
      </c>
      <c r="F111" s="8" t="s">
        <v>9</v>
      </c>
      <c r="G111" s="8" t="s">
        <v>9</v>
      </c>
      <c r="H111" s="8" t="s">
        <v>9</v>
      </c>
      <c r="I111" s="8" t="s">
        <v>9</v>
      </c>
      <c r="J111" s="8" t="s">
        <v>9</v>
      </c>
      <c r="K111" s="8"/>
      <c r="L111" s="8" t="s">
        <v>9</v>
      </c>
      <c r="M111" s="8" t="s">
        <v>9</v>
      </c>
      <c r="N111" s="28" t="s">
        <v>16</v>
      </c>
      <c r="O111" s="28" t="s">
        <v>16</v>
      </c>
      <c r="P111" s="8" t="s">
        <v>9</v>
      </c>
      <c r="Q111" s="16" t="s">
        <v>17</v>
      </c>
      <c r="R111" s="18" t="s">
        <v>18</v>
      </c>
      <c r="S111" s="18"/>
    </row>
    <row r="112" spans="1:19" x14ac:dyDescent="0.25">
      <c r="A112" s="3" t="s">
        <v>148</v>
      </c>
      <c r="B112" s="6">
        <v>85998481280</v>
      </c>
      <c r="D112" s="27" t="s">
        <v>11</v>
      </c>
      <c r="P112" s="19" t="s">
        <v>16</v>
      </c>
      <c r="Q112" s="16" t="s">
        <v>17</v>
      </c>
      <c r="R112" s="3" t="s">
        <v>149</v>
      </c>
    </row>
    <row r="113" spans="1:18" x14ac:dyDescent="0.25">
      <c r="A113" s="3" t="s">
        <v>150</v>
      </c>
      <c r="B113" s="6">
        <v>85987926558</v>
      </c>
      <c r="P113" s="6" t="s">
        <v>9</v>
      </c>
    </row>
    <row r="114" spans="1:18" x14ac:dyDescent="0.25">
      <c r="A114" s="3" t="s">
        <v>151</v>
      </c>
      <c r="B114" s="6">
        <v>85986208608</v>
      </c>
      <c r="D114" s="24" t="s">
        <v>20</v>
      </c>
      <c r="E114" s="6" t="s">
        <v>9</v>
      </c>
      <c r="F114" s="6" t="s">
        <v>9</v>
      </c>
      <c r="G114" s="6" t="s">
        <v>9</v>
      </c>
      <c r="H114" s="6" t="s">
        <v>9</v>
      </c>
      <c r="I114" s="6" t="s">
        <v>9</v>
      </c>
      <c r="J114" s="6" t="s">
        <v>9</v>
      </c>
      <c r="K114" s="6" t="s">
        <v>9</v>
      </c>
      <c r="L114" s="6" t="s">
        <v>9</v>
      </c>
      <c r="M114" s="6" t="s">
        <v>9</v>
      </c>
      <c r="N114" s="6" t="s">
        <v>9</v>
      </c>
      <c r="O114" s="19" t="s">
        <v>16</v>
      </c>
      <c r="P114" s="6" t="s">
        <v>9</v>
      </c>
      <c r="Q114" s="6" t="s">
        <v>21</v>
      </c>
    </row>
    <row r="115" spans="1:18" x14ac:dyDescent="0.25">
      <c r="A115" s="3" t="s">
        <v>152</v>
      </c>
      <c r="D115" s="24" t="s">
        <v>20</v>
      </c>
      <c r="E115" s="6" t="s">
        <v>9</v>
      </c>
      <c r="F115" s="6" t="s">
        <v>9</v>
      </c>
      <c r="G115" s="6" t="s">
        <v>9</v>
      </c>
      <c r="H115" s="6" t="s">
        <v>9</v>
      </c>
      <c r="I115" s="6" t="s">
        <v>9</v>
      </c>
      <c r="J115" s="6" t="s">
        <v>9</v>
      </c>
      <c r="M115" s="6" t="s">
        <v>9</v>
      </c>
      <c r="N115" s="19" t="s">
        <v>16</v>
      </c>
      <c r="O115" s="19" t="s">
        <v>16</v>
      </c>
      <c r="P115" s="6" t="s">
        <v>9</v>
      </c>
      <c r="Q115" s="6" t="s">
        <v>17</v>
      </c>
      <c r="R115" s="3" t="s">
        <v>32</v>
      </c>
    </row>
  </sheetData>
  <autoFilter ref="A1:S115" xr:uid="{00000000-0009-0000-0000-000000000000}"/>
  <sortState xmlns:xlrd2="http://schemas.microsoft.com/office/spreadsheetml/2017/richdata2" ref="A2:S115">
    <sortCondition ref="A1:A115"/>
  </sortState>
  <conditionalFormatting sqref="D1:Q1 D4:M5 D7:M8 D10:M10 R10 D13:M19 D21:M24 D28:M28 E29:M29 D30:M31 D33:M36 D38:M40 D42:M51 D54:M61 D63:M65 D67:M68 D70:M78 D80:M86 D88:M93 D95:M100 D102:M105">
    <cfRule type="containsText" dxfId="66" priority="7" operator="containsText" text="FALTA">
      <formula>NOT(ISERROR(SEARCH("FALTA",D1)))</formula>
    </cfRule>
    <cfRule type="containsText" dxfId="65" priority="8" operator="containsText" text="OK">
      <formula>NOT(ISERROR(SEARCH("OK",D1)))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22"/>
  <sheetViews>
    <sheetView zoomScaleNormal="100" workbookViewId="0">
      <pane xSplit="4" ySplit="1" topLeftCell="S2" activePane="bottomRight" state="frozen"/>
      <selection pane="topRight" activeCell="E1" sqref="E1"/>
      <selection pane="bottomLeft" activeCell="A2" sqref="A2"/>
      <selection pane="bottomRight" activeCell="A6" sqref="A6:XFD6"/>
    </sheetView>
  </sheetViews>
  <sheetFormatPr defaultColWidth="9.140625" defaultRowHeight="13.5" x14ac:dyDescent="0.25"/>
  <cols>
    <col min="1" max="1" width="37.85546875" style="2" bestFit="1" customWidth="1"/>
    <col min="2" max="2" width="19.28515625" style="2" bestFit="1" customWidth="1"/>
    <col min="3" max="3" width="16.42578125" style="6" customWidth="1"/>
    <col min="4" max="4" width="14.42578125" style="24" bestFit="1" customWidth="1"/>
    <col min="5" max="5" width="20.28515625" style="2" bestFit="1" customWidth="1"/>
    <col min="6" max="6" width="22.42578125" style="2" bestFit="1" customWidth="1"/>
    <col min="7" max="7" width="27.28515625" style="2" bestFit="1" customWidth="1"/>
    <col min="8" max="8" width="29.140625" style="2" bestFit="1" customWidth="1"/>
    <col min="9" max="9" width="21.5703125" style="2" bestFit="1" customWidth="1"/>
    <col min="10" max="10" width="34.42578125" style="2" bestFit="1" customWidth="1"/>
    <col min="11" max="11" width="23.140625" style="2" bestFit="1" customWidth="1"/>
    <col min="12" max="12" width="31.7109375" style="2" bestFit="1" customWidth="1"/>
    <col min="13" max="13" width="39.140625" style="2" bestFit="1" customWidth="1"/>
    <col min="14" max="14" width="14.28515625" style="2" bestFit="1" customWidth="1"/>
    <col min="15" max="15" width="18.140625" style="2" hidden="1" customWidth="1"/>
    <col min="16" max="16" width="26.7109375" style="6" bestFit="1" customWidth="1"/>
    <col min="17" max="24" width="12" style="6" bestFit="1" customWidth="1"/>
    <col min="25" max="25" width="12" style="6" customWidth="1"/>
    <col min="26" max="28" width="11.5703125" style="6" bestFit="1" customWidth="1"/>
    <col min="29" max="30" width="11.5703125" style="6" customWidth="1"/>
    <col min="31" max="31" width="12" style="17" customWidth="1"/>
    <col min="32" max="35" width="11.85546875" style="17" customWidth="1"/>
    <col min="36" max="36" width="11.42578125" style="29" bestFit="1" customWidth="1"/>
    <col min="37" max="37" width="33.42578125" style="2" customWidth="1"/>
    <col min="38" max="38" width="45.140625" style="2" customWidth="1"/>
    <col min="39" max="39" width="28.85546875" style="2" customWidth="1"/>
    <col min="40" max="16384" width="9.140625" style="2"/>
  </cols>
  <sheetData>
    <row r="1" spans="1:39" x14ac:dyDescent="0.25">
      <c r="A1" s="4" t="s">
        <v>0</v>
      </c>
      <c r="B1" s="4" t="s">
        <v>1</v>
      </c>
      <c r="C1" s="4" t="s">
        <v>2</v>
      </c>
      <c r="D1" s="23" t="s">
        <v>3</v>
      </c>
      <c r="E1" s="5" t="s">
        <v>153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161</v>
      </c>
      <c r="N1" s="5" t="s">
        <v>162</v>
      </c>
      <c r="O1" s="5" t="s">
        <v>163</v>
      </c>
      <c r="P1" s="20" t="s">
        <v>164</v>
      </c>
      <c r="Q1" s="20">
        <v>45621</v>
      </c>
      <c r="R1" s="20">
        <v>45623</v>
      </c>
      <c r="S1" s="20">
        <v>45628</v>
      </c>
      <c r="T1" s="20">
        <v>45630</v>
      </c>
      <c r="U1" s="20">
        <v>45635</v>
      </c>
      <c r="V1" s="20">
        <v>45637</v>
      </c>
      <c r="W1" s="20">
        <v>45642</v>
      </c>
      <c r="X1" s="20">
        <v>45644</v>
      </c>
      <c r="Y1" s="20" t="s">
        <v>165</v>
      </c>
      <c r="Z1" s="20">
        <v>45665</v>
      </c>
      <c r="AA1" s="20">
        <v>45670</v>
      </c>
      <c r="AB1" s="20">
        <v>45672</v>
      </c>
      <c r="AC1" s="20">
        <v>45677</v>
      </c>
      <c r="AD1" s="20">
        <v>45679</v>
      </c>
      <c r="AE1" s="20" t="s">
        <v>165</v>
      </c>
      <c r="AF1" s="20" t="s">
        <v>5</v>
      </c>
      <c r="AG1" s="20"/>
      <c r="AH1" s="20"/>
      <c r="AI1" s="20"/>
      <c r="AJ1" s="37" t="s">
        <v>5</v>
      </c>
      <c r="AK1" s="10" t="s">
        <v>166</v>
      </c>
      <c r="AL1" s="2" t="s">
        <v>6</v>
      </c>
    </row>
    <row r="2" spans="1:39" x14ac:dyDescent="0.25">
      <c r="A2" s="2" t="s">
        <v>8</v>
      </c>
      <c r="B2" s="21"/>
      <c r="P2" s="6" t="s">
        <v>34</v>
      </c>
      <c r="Q2" s="6" t="s">
        <v>34</v>
      </c>
      <c r="R2" s="6" t="s">
        <v>34</v>
      </c>
      <c r="S2" s="6" t="s">
        <v>34</v>
      </c>
      <c r="T2" s="6" t="s">
        <v>34</v>
      </c>
      <c r="U2" s="6" t="s">
        <v>34</v>
      </c>
      <c r="V2" s="6" t="s">
        <v>34</v>
      </c>
      <c r="W2" s="6" t="s">
        <v>34</v>
      </c>
      <c r="X2" s="6" t="s">
        <v>34</v>
      </c>
      <c r="Y2" s="30">
        <f>COUNTIF(P2:X2,"P")</f>
        <v>0</v>
      </c>
      <c r="Z2" s="6" t="s">
        <v>34</v>
      </c>
      <c r="AA2" s="6" t="s">
        <v>34</v>
      </c>
      <c r="AB2" s="6" t="s">
        <v>9</v>
      </c>
      <c r="AC2" s="43" t="s">
        <v>9</v>
      </c>
      <c r="AE2" s="30">
        <f t="shared" ref="AE2:AE33" si="0">COUNTIF(Z2:AD2,"P")</f>
        <v>2</v>
      </c>
      <c r="AF2" s="6"/>
      <c r="AG2" s="6"/>
      <c r="AH2" s="6"/>
      <c r="AI2" s="6"/>
    </row>
    <row r="3" spans="1:39" s="1" customFormat="1" x14ac:dyDescent="0.25">
      <c r="A3" s="2" t="s">
        <v>10</v>
      </c>
      <c r="B3" s="21">
        <v>85992372214</v>
      </c>
      <c r="C3" s="6"/>
      <c r="D3" s="27" t="s">
        <v>11</v>
      </c>
      <c r="E3" s="6" t="s">
        <v>167</v>
      </c>
      <c r="F3" s="7" t="s">
        <v>167</v>
      </c>
      <c r="G3" s="8" t="s">
        <v>168</v>
      </c>
      <c r="H3" s="7" t="s">
        <v>167</v>
      </c>
      <c r="I3" s="7" t="s">
        <v>167</v>
      </c>
      <c r="J3" s="7" t="s">
        <v>167</v>
      </c>
      <c r="K3" s="7" t="s">
        <v>167</v>
      </c>
      <c r="L3" s="7" t="s">
        <v>167</v>
      </c>
      <c r="M3" s="7" t="s">
        <v>167</v>
      </c>
      <c r="N3" s="7" t="s">
        <v>167</v>
      </c>
      <c r="O3" s="9" t="s">
        <v>169</v>
      </c>
      <c r="P3" s="6" t="s">
        <v>9</v>
      </c>
      <c r="Q3" s="6" t="s">
        <v>16</v>
      </c>
      <c r="R3" s="6" t="s">
        <v>16</v>
      </c>
      <c r="S3" s="6" t="s">
        <v>16</v>
      </c>
      <c r="T3" s="6" t="s">
        <v>16</v>
      </c>
      <c r="U3" s="6" t="s">
        <v>9</v>
      </c>
      <c r="V3" s="6" t="s">
        <v>9</v>
      </c>
      <c r="W3" s="6" t="s">
        <v>9</v>
      </c>
      <c r="X3" s="6" t="s">
        <v>9</v>
      </c>
      <c r="Y3" s="30">
        <f t="shared" ref="Y3:Y65" si="1">COUNTIF(P3:X3,"P")</f>
        <v>5</v>
      </c>
      <c r="Z3" s="6" t="s">
        <v>9</v>
      </c>
      <c r="AA3" s="6" t="s">
        <v>9</v>
      </c>
      <c r="AB3" s="6" t="s">
        <v>9</v>
      </c>
      <c r="AC3" s="43" t="s">
        <v>9</v>
      </c>
      <c r="AD3" s="6"/>
      <c r="AE3" s="30">
        <f t="shared" si="0"/>
        <v>4</v>
      </c>
      <c r="AF3" s="6"/>
      <c r="AG3" s="6"/>
      <c r="AH3" s="6"/>
      <c r="AI3" s="6"/>
      <c r="AJ3" s="21"/>
      <c r="AK3" s="14" t="s">
        <v>170</v>
      </c>
      <c r="AL3" s="2"/>
    </row>
    <row r="4" spans="1:39" x14ac:dyDescent="0.25">
      <c r="A4" s="2" t="s">
        <v>12</v>
      </c>
      <c r="B4" s="21">
        <v>85991146891</v>
      </c>
      <c r="D4" s="24" t="s">
        <v>13</v>
      </c>
      <c r="E4" s="6" t="s">
        <v>167</v>
      </c>
      <c r="F4" s="7" t="s">
        <v>167</v>
      </c>
      <c r="G4" s="7" t="s">
        <v>167</v>
      </c>
      <c r="H4" s="7" t="s">
        <v>167</v>
      </c>
      <c r="I4" s="7" t="s">
        <v>167</v>
      </c>
      <c r="J4" s="7" t="s">
        <v>167</v>
      </c>
      <c r="K4" s="7" t="s">
        <v>167</v>
      </c>
      <c r="L4" s="7" t="s">
        <v>167</v>
      </c>
      <c r="M4" s="7" t="s">
        <v>167</v>
      </c>
      <c r="N4" s="7" t="s">
        <v>167</v>
      </c>
      <c r="O4" s="9" t="s">
        <v>169</v>
      </c>
      <c r="P4" s="6" t="s">
        <v>9</v>
      </c>
      <c r="Q4" s="6" t="s">
        <v>9</v>
      </c>
      <c r="R4" s="6" t="s">
        <v>9</v>
      </c>
      <c r="S4" s="6" t="s">
        <v>9</v>
      </c>
      <c r="T4" s="6" t="s">
        <v>9</v>
      </c>
      <c r="U4" s="6" t="s">
        <v>9</v>
      </c>
      <c r="V4" s="6" t="s">
        <v>9</v>
      </c>
      <c r="W4" s="6" t="s">
        <v>9</v>
      </c>
      <c r="X4" s="6" t="s">
        <v>9</v>
      </c>
      <c r="Y4" s="30">
        <f t="shared" si="1"/>
        <v>9</v>
      </c>
      <c r="Z4" s="6" t="s">
        <v>9</v>
      </c>
      <c r="AA4" s="6" t="s">
        <v>9</v>
      </c>
      <c r="AB4" s="6" t="s">
        <v>9</v>
      </c>
      <c r="AC4" s="43" t="s">
        <v>9</v>
      </c>
      <c r="AE4" s="30">
        <f t="shared" si="0"/>
        <v>4</v>
      </c>
      <c r="AF4" s="6"/>
      <c r="AG4" s="6"/>
      <c r="AH4" s="6"/>
      <c r="AI4" s="6"/>
      <c r="AJ4" s="21"/>
      <c r="AK4" s="14" t="s">
        <v>171</v>
      </c>
    </row>
    <row r="5" spans="1:39" x14ac:dyDescent="0.25">
      <c r="A5" s="2" t="s">
        <v>14</v>
      </c>
      <c r="B5" s="21">
        <v>85988297277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 t="s">
        <v>34</v>
      </c>
      <c r="Q5" s="6" t="s">
        <v>34</v>
      </c>
      <c r="R5" s="6" t="s">
        <v>34</v>
      </c>
      <c r="S5" s="6" t="s">
        <v>34</v>
      </c>
      <c r="T5" s="6" t="s">
        <v>34</v>
      </c>
      <c r="U5" s="6" t="s">
        <v>34</v>
      </c>
      <c r="V5" s="6" t="s">
        <v>34</v>
      </c>
      <c r="W5" s="6" t="s">
        <v>34</v>
      </c>
      <c r="X5" s="6" t="s">
        <v>34</v>
      </c>
      <c r="Y5" s="30">
        <f t="shared" si="1"/>
        <v>0</v>
      </c>
      <c r="Z5" s="6" t="s">
        <v>9</v>
      </c>
      <c r="AA5" s="6" t="s">
        <v>9</v>
      </c>
      <c r="AB5" s="6" t="s">
        <v>9</v>
      </c>
      <c r="AC5" s="43" t="s">
        <v>9</v>
      </c>
      <c r="AE5" s="30">
        <f t="shared" si="0"/>
        <v>4</v>
      </c>
      <c r="AF5" s="6"/>
      <c r="AG5" s="6"/>
      <c r="AH5" s="6"/>
      <c r="AI5" s="6"/>
      <c r="AJ5" s="21"/>
    </row>
    <row r="6" spans="1:39" x14ac:dyDescent="0.25">
      <c r="A6" s="2" t="s">
        <v>15</v>
      </c>
      <c r="B6" s="21">
        <v>85992850136</v>
      </c>
      <c r="D6" s="27" t="s">
        <v>11</v>
      </c>
      <c r="E6" s="6" t="s">
        <v>167</v>
      </c>
      <c r="F6" s="6" t="s">
        <v>168</v>
      </c>
      <c r="G6" s="6" t="s">
        <v>168</v>
      </c>
      <c r="H6" s="6" t="s">
        <v>168</v>
      </c>
      <c r="I6" s="6" t="s">
        <v>168</v>
      </c>
      <c r="J6" s="6" t="s">
        <v>168</v>
      </c>
      <c r="K6" s="6" t="s">
        <v>168</v>
      </c>
      <c r="L6" s="6" t="s">
        <v>168</v>
      </c>
      <c r="M6" s="6" t="s">
        <v>168</v>
      </c>
      <c r="N6" s="6" t="s">
        <v>168</v>
      </c>
      <c r="O6" s="6" t="s">
        <v>13</v>
      </c>
      <c r="P6" s="6" t="s">
        <v>34</v>
      </c>
      <c r="Q6" s="6" t="s">
        <v>34</v>
      </c>
      <c r="R6" s="6" t="s">
        <v>34</v>
      </c>
      <c r="S6" s="6" t="s">
        <v>34</v>
      </c>
      <c r="T6" s="6" t="s">
        <v>34</v>
      </c>
      <c r="U6" s="6" t="s">
        <v>34</v>
      </c>
      <c r="V6" s="6" t="s">
        <v>34</v>
      </c>
      <c r="W6" s="6" t="s">
        <v>34</v>
      </c>
      <c r="X6" s="6" t="s">
        <v>34</v>
      </c>
      <c r="Y6" s="30">
        <f t="shared" si="1"/>
        <v>0</v>
      </c>
      <c r="Z6" s="6" t="s">
        <v>34</v>
      </c>
      <c r="AA6" s="6" t="s">
        <v>34</v>
      </c>
      <c r="AB6" s="6" t="s">
        <v>16</v>
      </c>
      <c r="AC6" s="43" t="s">
        <v>16</v>
      </c>
      <c r="AE6" s="30">
        <f t="shared" si="0"/>
        <v>0</v>
      </c>
      <c r="AF6" s="6"/>
      <c r="AG6" s="6"/>
      <c r="AH6" s="6"/>
      <c r="AI6" s="6"/>
      <c r="AJ6" s="38" t="s">
        <v>17</v>
      </c>
      <c r="AK6" s="10" t="s">
        <v>172</v>
      </c>
      <c r="AL6" s="2" t="s">
        <v>18</v>
      </c>
    </row>
    <row r="7" spans="1:39" x14ac:dyDescent="0.25">
      <c r="A7" s="2" t="s">
        <v>19</v>
      </c>
      <c r="B7" s="21">
        <v>85992096112</v>
      </c>
      <c r="D7" s="24" t="s">
        <v>20</v>
      </c>
      <c r="E7" s="6" t="s">
        <v>167</v>
      </c>
      <c r="F7" s="7" t="s">
        <v>167</v>
      </c>
      <c r="G7" s="8" t="s">
        <v>168</v>
      </c>
      <c r="H7" s="7" t="s">
        <v>167</v>
      </c>
      <c r="I7" s="7" t="s">
        <v>167</v>
      </c>
      <c r="J7" s="7" t="s">
        <v>167</v>
      </c>
      <c r="K7" s="7" t="s">
        <v>167</v>
      </c>
      <c r="L7" s="7" t="s">
        <v>167</v>
      </c>
      <c r="M7" s="7" t="s">
        <v>167</v>
      </c>
      <c r="N7" s="7" t="s">
        <v>167</v>
      </c>
      <c r="O7" s="9" t="s">
        <v>169</v>
      </c>
      <c r="P7" s="6" t="s">
        <v>9</v>
      </c>
      <c r="Q7" s="6" t="s">
        <v>16</v>
      </c>
      <c r="R7" s="6" t="s">
        <v>16</v>
      </c>
      <c r="S7" s="6" t="s">
        <v>16</v>
      </c>
      <c r="T7" s="6" t="s">
        <v>16</v>
      </c>
      <c r="U7" s="6" t="s">
        <v>9</v>
      </c>
      <c r="V7" s="6" t="s">
        <v>9</v>
      </c>
      <c r="W7" s="6" t="s">
        <v>9</v>
      </c>
      <c r="X7" s="6" t="s">
        <v>9</v>
      </c>
      <c r="Y7" s="30">
        <f t="shared" si="1"/>
        <v>5</v>
      </c>
      <c r="Z7" s="6" t="s">
        <v>9</v>
      </c>
      <c r="AA7" s="6" t="s">
        <v>16</v>
      </c>
      <c r="AB7" s="6" t="s">
        <v>9</v>
      </c>
      <c r="AC7" s="43" t="s">
        <v>9</v>
      </c>
      <c r="AE7" s="30">
        <f t="shared" si="0"/>
        <v>3</v>
      </c>
      <c r="AF7" s="6"/>
      <c r="AG7" s="6"/>
      <c r="AH7" s="6"/>
      <c r="AI7" s="6"/>
      <c r="AJ7" s="39" t="s">
        <v>21</v>
      </c>
      <c r="AK7" s="12" t="s">
        <v>173</v>
      </c>
    </row>
    <row r="8" spans="1:39" x14ac:dyDescent="0.25">
      <c r="A8" s="2" t="s">
        <v>22</v>
      </c>
      <c r="B8" s="21">
        <v>85999166962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6" t="s">
        <v>34</v>
      </c>
      <c r="Q8" s="6" t="s">
        <v>34</v>
      </c>
      <c r="R8" s="6" t="s">
        <v>34</v>
      </c>
      <c r="S8" s="6" t="s">
        <v>34</v>
      </c>
      <c r="T8" s="6" t="s">
        <v>34</v>
      </c>
      <c r="U8" s="6" t="s">
        <v>34</v>
      </c>
      <c r="V8" s="6" t="s">
        <v>34</v>
      </c>
      <c r="W8" s="6" t="s">
        <v>34</v>
      </c>
      <c r="X8" s="6" t="s">
        <v>34</v>
      </c>
      <c r="Y8" s="30">
        <f t="shared" si="1"/>
        <v>0</v>
      </c>
      <c r="Z8" s="6" t="s">
        <v>9</v>
      </c>
      <c r="AA8" s="6" t="s">
        <v>16</v>
      </c>
      <c r="AB8" s="6" t="s">
        <v>23</v>
      </c>
      <c r="AC8" s="43" t="s">
        <v>16</v>
      </c>
      <c r="AE8" s="30">
        <f t="shared" si="0"/>
        <v>1</v>
      </c>
      <c r="AF8" s="6"/>
      <c r="AG8" s="6"/>
      <c r="AH8" s="6"/>
      <c r="AI8" s="6"/>
      <c r="AJ8" s="39" t="s">
        <v>21</v>
      </c>
    </row>
    <row r="9" spans="1:39" x14ac:dyDescent="0.25">
      <c r="A9" s="2" t="s">
        <v>24</v>
      </c>
      <c r="B9" s="21"/>
      <c r="E9" s="6" t="s">
        <v>168</v>
      </c>
      <c r="F9" s="7" t="s">
        <v>167</v>
      </c>
      <c r="G9" s="7" t="s">
        <v>167</v>
      </c>
      <c r="H9" s="8" t="s">
        <v>168</v>
      </c>
      <c r="I9" s="7" t="s">
        <v>167</v>
      </c>
      <c r="J9" s="8" t="s">
        <v>168</v>
      </c>
      <c r="K9" s="7" t="s">
        <v>167</v>
      </c>
      <c r="L9" s="7" t="s">
        <v>167</v>
      </c>
      <c r="M9" s="7" t="s">
        <v>167</v>
      </c>
      <c r="N9" s="7" t="s">
        <v>167</v>
      </c>
      <c r="O9" s="9" t="s">
        <v>169</v>
      </c>
      <c r="P9" s="6" t="s">
        <v>16</v>
      </c>
      <c r="Q9" s="6" t="s">
        <v>16</v>
      </c>
      <c r="R9" s="6" t="s">
        <v>16</v>
      </c>
      <c r="S9" s="6" t="s">
        <v>16</v>
      </c>
      <c r="T9" s="6" t="s">
        <v>16</v>
      </c>
      <c r="U9" s="6" t="s">
        <v>9</v>
      </c>
      <c r="V9" s="6" t="s">
        <v>9</v>
      </c>
      <c r="W9" s="6" t="s">
        <v>9</v>
      </c>
      <c r="X9" s="6" t="s">
        <v>16</v>
      </c>
      <c r="Y9" s="30">
        <f t="shared" si="1"/>
        <v>3</v>
      </c>
      <c r="Z9" s="6" t="s">
        <v>9</v>
      </c>
      <c r="AA9" s="6" t="s">
        <v>9</v>
      </c>
      <c r="AB9" s="6" t="s">
        <v>9</v>
      </c>
      <c r="AC9" s="43" t="s">
        <v>9</v>
      </c>
      <c r="AE9" s="30">
        <f t="shared" si="0"/>
        <v>4</v>
      </c>
      <c r="AF9" s="6"/>
      <c r="AG9" s="6"/>
      <c r="AH9" s="6"/>
      <c r="AI9" s="6"/>
      <c r="AJ9" s="21"/>
      <c r="AK9" s="11" t="s">
        <v>174</v>
      </c>
    </row>
    <row r="10" spans="1:39" x14ac:dyDescent="0.25">
      <c r="A10" s="2" t="s">
        <v>25</v>
      </c>
      <c r="B10" s="21">
        <v>85981024351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6" t="s">
        <v>34</v>
      </c>
      <c r="Q10" s="6" t="s">
        <v>34</v>
      </c>
      <c r="R10" s="6" t="s">
        <v>34</v>
      </c>
      <c r="S10" s="6" t="s">
        <v>34</v>
      </c>
      <c r="T10" s="6" t="s">
        <v>34</v>
      </c>
      <c r="U10" s="6" t="s">
        <v>34</v>
      </c>
      <c r="V10" s="6" t="s">
        <v>34</v>
      </c>
      <c r="W10" s="6" t="s">
        <v>34</v>
      </c>
      <c r="X10" s="6" t="s">
        <v>34</v>
      </c>
      <c r="Y10" s="30">
        <f t="shared" si="1"/>
        <v>0</v>
      </c>
      <c r="Z10" s="6" t="s">
        <v>16</v>
      </c>
      <c r="AA10" s="6" t="s">
        <v>16</v>
      </c>
      <c r="AB10" s="6" t="s">
        <v>23</v>
      </c>
      <c r="AC10" s="43" t="s">
        <v>9</v>
      </c>
      <c r="AE10" s="30">
        <f t="shared" si="0"/>
        <v>1</v>
      </c>
      <c r="AF10" s="6"/>
      <c r="AG10" s="6"/>
      <c r="AH10" s="6"/>
      <c r="AI10" s="6"/>
      <c r="AJ10" s="38" t="s">
        <v>17</v>
      </c>
      <c r="AL10" s="2" t="s">
        <v>26</v>
      </c>
    </row>
    <row r="11" spans="1:39" x14ac:dyDescent="0.25">
      <c r="A11" s="2" t="s">
        <v>27</v>
      </c>
      <c r="B11" s="21">
        <v>85987058056</v>
      </c>
      <c r="C11" s="8" t="s">
        <v>28</v>
      </c>
      <c r="D11" s="25" t="s">
        <v>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6" t="s">
        <v>34</v>
      </c>
      <c r="Q11" s="6" t="s">
        <v>34</v>
      </c>
      <c r="R11" s="6" t="s">
        <v>34</v>
      </c>
      <c r="S11" s="6" t="s">
        <v>34</v>
      </c>
      <c r="T11" s="6" t="s">
        <v>34</v>
      </c>
      <c r="U11" s="6" t="s">
        <v>34</v>
      </c>
      <c r="V11" s="6" t="s">
        <v>34</v>
      </c>
      <c r="W11" s="6" t="s">
        <v>34</v>
      </c>
      <c r="X11" s="6" t="s">
        <v>34</v>
      </c>
      <c r="Y11" s="30">
        <f t="shared" si="1"/>
        <v>0</v>
      </c>
      <c r="Z11" s="6" t="s">
        <v>9</v>
      </c>
      <c r="AA11" s="6" t="s">
        <v>9</v>
      </c>
      <c r="AB11" s="6" t="s">
        <v>9</v>
      </c>
      <c r="AC11" s="43" t="s">
        <v>9</v>
      </c>
      <c r="AE11" s="30">
        <f t="shared" si="0"/>
        <v>4</v>
      </c>
      <c r="AF11" s="6"/>
      <c r="AG11" s="6"/>
      <c r="AH11" s="6"/>
      <c r="AI11" s="6"/>
      <c r="AJ11" s="21"/>
    </row>
    <row r="12" spans="1:39" x14ac:dyDescent="0.25">
      <c r="A12" s="2" t="s">
        <v>29</v>
      </c>
      <c r="B12" s="21">
        <v>85986029128</v>
      </c>
      <c r="D12" s="24" t="s">
        <v>20</v>
      </c>
      <c r="E12" s="6" t="s">
        <v>167</v>
      </c>
      <c r="F12" s="6" t="s">
        <v>168</v>
      </c>
      <c r="G12" s="6" t="s">
        <v>168</v>
      </c>
      <c r="H12" s="6" t="s">
        <v>168</v>
      </c>
      <c r="I12" s="6" t="s">
        <v>168</v>
      </c>
      <c r="J12" s="6" t="s">
        <v>168</v>
      </c>
      <c r="K12" s="6" t="s">
        <v>168</v>
      </c>
      <c r="L12" s="6" t="s">
        <v>168</v>
      </c>
      <c r="M12" s="6" t="s">
        <v>168</v>
      </c>
      <c r="N12" s="6" t="s">
        <v>168</v>
      </c>
      <c r="O12" s="9" t="s">
        <v>169</v>
      </c>
      <c r="P12" s="6" t="s">
        <v>16</v>
      </c>
      <c r="Q12" s="6" t="s">
        <v>16</v>
      </c>
      <c r="R12" s="6" t="s">
        <v>16</v>
      </c>
      <c r="S12" s="6" t="s">
        <v>9</v>
      </c>
      <c r="T12" s="6" t="s">
        <v>9</v>
      </c>
      <c r="U12" s="6" t="s">
        <v>9</v>
      </c>
      <c r="V12" s="6" t="s">
        <v>9</v>
      </c>
      <c r="W12" s="6" t="s">
        <v>16</v>
      </c>
      <c r="X12" s="6" t="s">
        <v>16</v>
      </c>
      <c r="Y12" s="30">
        <f t="shared" si="1"/>
        <v>4</v>
      </c>
      <c r="Z12" s="6" t="s">
        <v>9</v>
      </c>
      <c r="AA12" s="6" t="s">
        <v>9</v>
      </c>
      <c r="AB12" s="6" t="s">
        <v>16</v>
      </c>
      <c r="AC12" s="43" t="s">
        <v>9</v>
      </c>
      <c r="AE12" s="30">
        <f t="shared" si="0"/>
        <v>3</v>
      </c>
      <c r="AF12" s="6"/>
      <c r="AG12" s="6"/>
      <c r="AH12" s="6"/>
      <c r="AI12" s="6"/>
      <c r="AJ12" s="21"/>
      <c r="AK12" s="10" t="s">
        <v>173</v>
      </c>
    </row>
    <row r="13" spans="1:39" x14ac:dyDescent="0.25">
      <c r="A13" s="2" t="s">
        <v>30</v>
      </c>
      <c r="B13" s="21"/>
      <c r="D13" s="24" t="s">
        <v>13</v>
      </c>
      <c r="E13" s="6" t="s">
        <v>167</v>
      </c>
      <c r="F13" s="7" t="s">
        <v>167</v>
      </c>
      <c r="G13" s="8" t="s">
        <v>168</v>
      </c>
      <c r="H13" s="7" t="s">
        <v>167</v>
      </c>
      <c r="I13" s="7" t="s">
        <v>167</v>
      </c>
      <c r="J13" s="7" t="s">
        <v>167</v>
      </c>
      <c r="K13" s="7" t="s">
        <v>167</v>
      </c>
      <c r="L13" s="7" t="s">
        <v>167</v>
      </c>
      <c r="M13" s="7" t="s">
        <v>167</v>
      </c>
      <c r="N13" s="7" t="s">
        <v>167</v>
      </c>
      <c r="O13" s="9" t="s">
        <v>175</v>
      </c>
      <c r="P13" s="6" t="s">
        <v>9</v>
      </c>
      <c r="Q13" s="6" t="s">
        <v>16</v>
      </c>
      <c r="R13" s="6" t="s">
        <v>16</v>
      </c>
      <c r="S13" s="6" t="s">
        <v>16</v>
      </c>
      <c r="T13" s="6" t="s">
        <v>16</v>
      </c>
      <c r="U13" s="6" t="s">
        <v>16</v>
      </c>
      <c r="V13" s="6" t="s">
        <v>16</v>
      </c>
      <c r="W13" s="6" t="s">
        <v>16</v>
      </c>
      <c r="X13" s="6" t="s">
        <v>16</v>
      </c>
      <c r="Y13" s="30">
        <f t="shared" si="1"/>
        <v>1</v>
      </c>
      <c r="Z13" s="6" t="s">
        <v>9</v>
      </c>
      <c r="AA13" s="6" t="s">
        <v>16</v>
      </c>
      <c r="AB13" s="6" t="s">
        <v>23</v>
      </c>
      <c r="AC13" s="43" t="s">
        <v>16</v>
      </c>
      <c r="AE13" s="30">
        <f t="shared" si="0"/>
        <v>1</v>
      </c>
      <c r="AF13" s="6"/>
      <c r="AG13" s="6"/>
      <c r="AH13" s="6"/>
      <c r="AI13" s="6"/>
      <c r="AJ13" s="39" t="s">
        <v>21</v>
      </c>
      <c r="AK13" s="12" t="s">
        <v>173</v>
      </c>
    </row>
    <row r="14" spans="1:39" x14ac:dyDescent="0.25">
      <c r="A14" s="2" t="s">
        <v>31</v>
      </c>
      <c r="B14" s="21"/>
      <c r="E14" s="3" t="s">
        <v>95</v>
      </c>
      <c r="F14" s="3"/>
      <c r="G14" s="3"/>
      <c r="H14" s="3"/>
      <c r="I14" s="3"/>
      <c r="J14" s="3" t="s">
        <v>13</v>
      </c>
      <c r="K14" s="3"/>
      <c r="L14" s="3"/>
      <c r="M14" s="3"/>
      <c r="N14" s="3"/>
      <c r="O14" s="9" t="s">
        <v>176</v>
      </c>
      <c r="P14" s="6" t="s">
        <v>34</v>
      </c>
      <c r="Q14" s="6" t="s">
        <v>34</v>
      </c>
      <c r="R14" s="6" t="s">
        <v>34</v>
      </c>
      <c r="S14" s="6" t="s">
        <v>34</v>
      </c>
      <c r="T14" s="6" t="s">
        <v>34</v>
      </c>
      <c r="U14" s="6" t="s">
        <v>34</v>
      </c>
      <c r="V14" s="6" t="s">
        <v>34</v>
      </c>
      <c r="W14" s="6" t="s">
        <v>9</v>
      </c>
      <c r="X14" s="6" t="s">
        <v>9</v>
      </c>
      <c r="Y14" s="30">
        <f t="shared" si="1"/>
        <v>2</v>
      </c>
      <c r="Z14" s="6" t="s">
        <v>16</v>
      </c>
      <c r="AA14" s="6" t="s">
        <v>16</v>
      </c>
      <c r="AB14" s="6" t="s">
        <v>16</v>
      </c>
      <c r="AC14" s="43" t="s">
        <v>9</v>
      </c>
      <c r="AE14" s="30">
        <f t="shared" si="0"/>
        <v>1</v>
      </c>
      <c r="AF14" s="6"/>
      <c r="AG14" s="6"/>
      <c r="AH14" s="6"/>
      <c r="AI14" s="6"/>
      <c r="AJ14" s="38" t="s">
        <v>17</v>
      </c>
      <c r="AK14" s="10"/>
      <c r="AL14" s="2" t="s">
        <v>32</v>
      </c>
    </row>
    <row r="15" spans="1:39" x14ac:dyDescent="0.25">
      <c r="A15" s="2" t="s">
        <v>33</v>
      </c>
      <c r="B15" s="21">
        <v>85985984799</v>
      </c>
      <c r="D15" s="24" t="s">
        <v>20</v>
      </c>
      <c r="E15" s="6" t="s">
        <v>167</v>
      </c>
      <c r="F15" s="6" t="s">
        <v>168</v>
      </c>
      <c r="G15" s="6" t="s">
        <v>168</v>
      </c>
      <c r="H15" s="6" t="s">
        <v>168</v>
      </c>
      <c r="I15" s="6" t="s">
        <v>168</v>
      </c>
      <c r="J15" s="6" t="s">
        <v>168</v>
      </c>
      <c r="K15" s="6" t="s">
        <v>168</v>
      </c>
      <c r="L15" s="6" t="s">
        <v>168</v>
      </c>
      <c r="M15" s="6" t="s">
        <v>168</v>
      </c>
      <c r="N15" s="6" t="s">
        <v>168</v>
      </c>
      <c r="O15" s="6" t="s">
        <v>13</v>
      </c>
      <c r="P15" s="6" t="s">
        <v>16</v>
      </c>
      <c r="Q15" s="6" t="s">
        <v>16</v>
      </c>
      <c r="R15" s="6" t="s">
        <v>16</v>
      </c>
      <c r="S15" s="6" t="s">
        <v>16</v>
      </c>
      <c r="T15" s="6" t="s">
        <v>16</v>
      </c>
      <c r="U15" s="6" t="s">
        <v>16</v>
      </c>
      <c r="V15" s="6" t="s">
        <v>16</v>
      </c>
      <c r="W15" s="6" t="s">
        <v>16</v>
      </c>
      <c r="X15" s="6" t="s">
        <v>16</v>
      </c>
      <c r="Y15" s="30">
        <f t="shared" si="1"/>
        <v>0</v>
      </c>
      <c r="Z15" s="6" t="s">
        <v>9</v>
      </c>
      <c r="AA15" s="6" t="s">
        <v>9</v>
      </c>
      <c r="AB15" s="6" t="s">
        <v>16</v>
      </c>
      <c r="AC15" s="43" t="s">
        <v>16</v>
      </c>
      <c r="AE15" s="30">
        <f t="shared" si="0"/>
        <v>2</v>
      </c>
      <c r="AF15" s="6"/>
      <c r="AG15" s="6"/>
      <c r="AH15" s="6"/>
      <c r="AI15" s="6"/>
      <c r="AJ15" s="21"/>
      <c r="AK15" s="15" t="s">
        <v>177</v>
      </c>
      <c r="AM15" s="2" t="s">
        <v>35</v>
      </c>
    </row>
    <row r="16" spans="1:39" x14ac:dyDescent="0.25">
      <c r="A16" s="2" t="s">
        <v>36</v>
      </c>
      <c r="B16" s="21">
        <v>85992370444</v>
      </c>
      <c r="D16" s="27" t="s">
        <v>11</v>
      </c>
      <c r="E16" s="6" t="s">
        <v>167</v>
      </c>
      <c r="F16" s="7" t="s">
        <v>167</v>
      </c>
      <c r="G16" s="8" t="s">
        <v>168</v>
      </c>
      <c r="H16" s="7" t="s">
        <v>167</v>
      </c>
      <c r="I16" s="7" t="s">
        <v>167</v>
      </c>
      <c r="J16" s="7" t="s">
        <v>167</v>
      </c>
      <c r="K16" s="7" t="s">
        <v>167</v>
      </c>
      <c r="L16" s="7" t="s">
        <v>167</v>
      </c>
      <c r="M16" s="7" t="s">
        <v>167</v>
      </c>
      <c r="N16" s="7" t="s">
        <v>167</v>
      </c>
      <c r="O16" s="9" t="s">
        <v>175</v>
      </c>
      <c r="P16" s="6" t="s">
        <v>9</v>
      </c>
      <c r="Q16" s="6" t="s">
        <v>16</v>
      </c>
      <c r="R16" s="6" t="s">
        <v>16</v>
      </c>
      <c r="S16" s="6" t="s">
        <v>16</v>
      </c>
      <c r="T16" s="6" t="s">
        <v>16</v>
      </c>
      <c r="U16" s="6" t="s">
        <v>16</v>
      </c>
      <c r="V16" s="6" t="s">
        <v>16</v>
      </c>
      <c r="W16" s="6" t="s">
        <v>16</v>
      </c>
      <c r="X16" s="6" t="s">
        <v>16</v>
      </c>
      <c r="Y16" s="30">
        <f t="shared" si="1"/>
        <v>1</v>
      </c>
      <c r="Z16" s="6" t="s">
        <v>9</v>
      </c>
      <c r="AA16" s="6" t="s">
        <v>16</v>
      </c>
      <c r="AB16" s="6" t="s">
        <v>16</v>
      </c>
      <c r="AC16" s="43" t="s">
        <v>16</v>
      </c>
      <c r="AE16" s="30">
        <f t="shared" si="0"/>
        <v>1</v>
      </c>
      <c r="AF16" s="6"/>
      <c r="AG16" s="6"/>
      <c r="AH16" s="6"/>
      <c r="AI16" s="6"/>
      <c r="AJ16" s="39" t="s">
        <v>21</v>
      </c>
      <c r="AK16" s="13" t="s">
        <v>178</v>
      </c>
    </row>
    <row r="17" spans="1:38" x14ac:dyDescent="0.25">
      <c r="A17" s="2" t="s">
        <v>37</v>
      </c>
      <c r="B17" s="21">
        <v>85985424242</v>
      </c>
      <c r="D17" s="24" t="s">
        <v>20</v>
      </c>
      <c r="E17" s="6" t="s">
        <v>167</v>
      </c>
      <c r="F17" s="6" t="s">
        <v>168</v>
      </c>
      <c r="G17" s="6" t="s">
        <v>168</v>
      </c>
      <c r="H17" s="6" t="s">
        <v>168</v>
      </c>
      <c r="I17" s="6" t="s">
        <v>168</v>
      </c>
      <c r="J17" s="6" t="s">
        <v>168</v>
      </c>
      <c r="K17" s="6" t="s">
        <v>168</v>
      </c>
      <c r="L17" s="6" t="s">
        <v>168</v>
      </c>
      <c r="M17" s="6" t="s">
        <v>168</v>
      </c>
      <c r="N17" s="6" t="s">
        <v>168</v>
      </c>
      <c r="O17" s="6" t="s">
        <v>13</v>
      </c>
      <c r="P17" s="6" t="s">
        <v>34</v>
      </c>
      <c r="Q17" s="6" t="s">
        <v>34</v>
      </c>
      <c r="R17" s="6" t="s">
        <v>34</v>
      </c>
      <c r="S17" s="6" t="s">
        <v>34</v>
      </c>
      <c r="T17" s="6" t="s">
        <v>34</v>
      </c>
      <c r="U17" s="6" t="s">
        <v>34</v>
      </c>
      <c r="V17" s="6" t="s">
        <v>34</v>
      </c>
      <c r="W17" s="6" t="s">
        <v>34</v>
      </c>
      <c r="X17" s="6" t="s">
        <v>34</v>
      </c>
      <c r="Y17" s="30">
        <f t="shared" si="1"/>
        <v>0</v>
      </c>
      <c r="Z17" s="6" t="s">
        <v>34</v>
      </c>
      <c r="AA17" s="6" t="s">
        <v>34</v>
      </c>
      <c r="AB17" s="6" t="s">
        <v>16</v>
      </c>
      <c r="AC17" s="43" t="s">
        <v>16</v>
      </c>
      <c r="AE17" s="30">
        <f t="shared" si="0"/>
        <v>0</v>
      </c>
      <c r="AF17" s="6"/>
      <c r="AG17" s="6"/>
      <c r="AH17" s="6"/>
      <c r="AI17" s="6"/>
      <c r="AJ17" s="38" t="s">
        <v>17</v>
      </c>
      <c r="AK17" s="10" t="s">
        <v>173</v>
      </c>
      <c r="AL17" s="2" t="s">
        <v>38</v>
      </c>
    </row>
    <row r="18" spans="1:38" x14ac:dyDescent="0.25">
      <c r="A18" s="2" t="s">
        <v>39</v>
      </c>
      <c r="B18" s="21">
        <v>85992297858</v>
      </c>
      <c r="D18" s="27" t="s">
        <v>11</v>
      </c>
      <c r="E18" s="6" t="s">
        <v>167</v>
      </c>
      <c r="F18" s="6" t="s">
        <v>168</v>
      </c>
      <c r="G18" s="6" t="s">
        <v>168</v>
      </c>
      <c r="H18" s="6" t="s">
        <v>168</v>
      </c>
      <c r="I18" s="6" t="s">
        <v>168</v>
      </c>
      <c r="J18" s="6" t="s">
        <v>168</v>
      </c>
      <c r="K18" s="6" t="s">
        <v>168</v>
      </c>
      <c r="L18" s="6" t="s">
        <v>168</v>
      </c>
      <c r="M18" s="6" t="s">
        <v>168</v>
      </c>
      <c r="N18" s="6" t="s">
        <v>168</v>
      </c>
      <c r="O18" s="6" t="s">
        <v>13</v>
      </c>
      <c r="P18" s="6" t="s">
        <v>34</v>
      </c>
      <c r="Q18" s="6" t="s">
        <v>34</v>
      </c>
      <c r="R18" s="6" t="s">
        <v>34</v>
      </c>
      <c r="S18" s="6" t="s">
        <v>34</v>
      </c>
      <c r="T18" s="6" t="s">
        <v>34</v>
      </c>
      <c r="U18" s="6" t="s">
        <v>34</v>
      </c>
      <c r="V18" s="6" t="s">
        <v>34</v>
      </c>
      <c r="W18" s="6" t="s">
        <v>34</v>
      </c>
      <c r="X18" s="6" t="s">
        <v>34</v>
      </c>
      <c r="Y18" s="30">
        <f t="shared" si="1"/>
        <v>0</v>
      </c>
      <c r="Z18" s="6" t="s">
        <v>34</v>
      </c>
      <c r="AA18" s="6" t="s">
        <v>34</v>
      </c>
      <c r="AB18" s="6" t="s">
        <v>16</v>
      </c>
      <c r="AC18" s="43" t="s">
        <v>9</v>
      </c>
      <c r="AE18" s="30">
        <f t="shared" si="0"/>
        <v>1</v>
      </c>
      <c r="AF18" s="6"/>
      <c r="AG18" s="6"/>
      <c r="AH18" s="6"/>
      <c r="AI18" s="6"/>
      <c r="AJ18" s="38" t="s">
        <v>17</v>
      </c>
      <c r="AK18" s="10" t="s">
        <v>173</v>
      </c>
      <c r="AL18" s="2" t="s">
        <v>18</v>
      </c>
    </row>
    <row r="19" spans="1:38" x14ac:dyDescent="0.25">
      <c r="A19" s="2" t="s">
        <v>40</v>
      </c>
      <c r="B19" s="21">
        <v>85989364457</v>
      </c>
      <c r="C19" s="8" t="s">
        <v>28</v>
      </c>
      <c r="D19" s="25" t="s">
        <v>11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6" t="s">
        <v>34</v>
      </c>
      <c r="Q19" s="6" t="s">
        <v>34</v>
      </c>
      <c r="R19" s="6" t="s">
        <v>34</v>
      </c>
      <c r="S19" s="6" t="s">
        <v>34</v>
      </c>
      <c r="T19" s="6" t="s">
        <v>34</v>
      </c>
      <c r="U19" s="6" t="s">
        <v>34</v>
      </c>
      <c r="V19" s="6" t="s">
        <v>34</v>
      </c>
      <c r="W19" s="6" t="s">
        <v>34</v>
      </c>
      <c r="X19" s="6" t="s">
        <v>34</v>
      </c>
      <c r="Y19" s="30">
        <f t="shared" si="1"/>
        <v>0</v>
      </c>
      <c r="Z19" s="6" t="s">
        <v>9</v>
      </c>
      <c r="AA19" s="6" t="s">
        <v>9</v>
      </c>
      <c r="AB19" s="6" t="s">
        <v>9</v>
      </c>
      <c r="AC19" s="43" t="s">
        <v>16</v>
      </c>
      <c r="AE19" s="30">
        <f t="shared" si="0"/>
        <v>3</v>
      </c>
      <c r="AF19" s="6"/>
      <c r="AG19" s="6"/>
      <c r="AH19" s="6"/>
      <c r="AI19" s="6"/>
      <c r="AJ19" s="21"/>
    </row>
    <row r="20" spans="1:38" x14ac:dyDescent="0.25">
      <c r="A20" s="2" t="s">
        <v>41</v>
      </c>
      <c r="B20" s="21">
        <v>85988249154</v>
      </c>
      <c r="D20" s="24" t="s">
        <v>20</v>
      </c>
      <c r="E20" s="6" t="s">
        <v>167</v>
      </c>
      <c r="F20" s="6" t="s">
        <v>168</v>
      </c>
      <c r="G20" s="6" t="s">
        <v>168</v>
      </c>
      <c r="H20" s="6" t="s">
        <v>168</v>
      </c>
      <c r="I20" s="6" t="s">
        <v>168</v>
      </c>
      <c r="J20" s="6" t="s">
        <v>168</v>
      </c>
      <c r="K20" s="6" t="s">
        <v>168</v>
      </c>
      <c r="L20" s="6" t="s">
        <v>168</v>
      </c>
      <c r="M20" s="6" t="s">
        <v>168</v>
      </c>
      <c r="N20" s="6" t="s">
        <v>168</v>
      </c>
      <c r="O20" s="9" t="s">
        <v>169</v>
      </c>
      <c r="P20" s="6" t="s">
        <v>16</v>
      </c>
      <c r="Q20" s="6" t="s">
        <v>16</v>
      </c>
      <c r="R20" s="6" t="s">
        <v>16</v>
      </c>
      <c r="S20" s="6" t="s">
        <v>16</v>
      </c>
      <c r="T20" s="6" t="s">
        <v>16</v>
      </c>
      <c r="U20" s="6" t="s">
        <v>9</v>
      </c>
      <c r="V20" s="6" t="s">
        <v>9</v>
      </c>
      <c r="W20" s="6" t="s">
        <v>9</v>
      </c>
      <c r="X20" s="6" t="s">
        <v>16</v>
      </c>
      <c r="Y20" s="30">
        <f t="shared" si="1"/>
        <v>3</v>
      </c>
      <c r="Z20" s="6" t="s">
        <v>16</v>
      </c>
      <c r="AA20" s="6" t="s">
        <v>9</v>
      </c>
      <c r="AB20" s="6" t="s">
        <v>16</v>
      </c>
      <c r="AC20" s="43" t="s">
        <v>9</v>
      </c>
      <c r="AE20" s="30">
        <f t="shared" si="0"/>
        <v>2</v>
      </c>
      <c r="AF20" s="6"/>
      <c r="AG20" s="6"/>
      <c r="AH20" s="6"/>
      <c r="AI20" s="6"/>
      <c r="AJ20" s="21"/>
      <c r="AK20" s="10" t="s">
        <v>173</v>
      </c>
    </row>
    <row r="21" spans="1:38" x14ac:dyDescent="0.25">
      <c r="A21" s="29" t="s">
        <v>42</v>
      </c>
      <c r="B21" s="21">
        <v>85988908983</v>
      </c>
      <c r="C21" s="8" t="s">
        <v>28</v>
      </c>
      <c r="D21" s="25" t="s">
        <v>11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 t="s">
        <v>34</v>
      </c>
      <c r="Q21" s="6" t="s">
        <v>34</v>
      </c>
      <c r="R21" s="6" t="s">
        <v>34</v>
      </c>
      <c r="S21" s="6" t="s">
        <v>34</v>
      </c>
      <c r="T21" s="6" t="s">
        <v>34</v>
      </c>
      <c r="U21" s="6" t="s">
        <v>34</v>
      </c>
      <c r="V21" s="6" t="s">
        <v>34</v>
      </c>
      <c r="W21" s="6" t="s">
        <v>34</v>
      </c>
      <c r="X21" s="6" t="s">
        <v>34</v>
      </c>
      <c r="Y21" s="30">
        <f t="shared" si="1"/>
        <v>0</v>
      </c>
      <c r="Z21" s="6" t="s">
        <v>34</v>
      </c>
      <c r="AA21" s="6" t="s">
        <v>34</v>
      </c>
      <c r="AB21" s="6" t="s">
        <v>34</v>
      </c>
      <c r="AC21" s="43" t="s">
        <v>34</v>
      </c>
      <c r="AE21" s="30">
        <f t="shared" si="0"/>
        <v>0</v>
      </c>
      <c r="AF21" s="6"/>
      <c r="AG21" s="6"/>
      <c r="AH21" s="6"/>
      <c r="AI21" s="6"/>
      <c r="AJ21" s="21"/>
      <c r="AK21" s="10"/>
    </row>
    <row r="22" spans="1:38" x14ac:dyDescent="0.25">
      <c r="A22" s="2" t="s">
        <v>43</v>
      </c>
      <c r="B22" s="21">
        <v>85992469294</v>
      </c>
      <c r="D22" s="24" t="s">
        <v>20</v>
      </c>
      <c r="E22" s="6" t="s">
        <v>167</v>
      </c>
      <c r="F22" s="7" t="s">
        <v>167</v>
      </c>
      <c r="G22" s="7" t="s">
        <v>167</v>
      </c>
      <c r="H22" s="7" t="s">
        <v>167</v>
      </c>
      <c r="I22" s="7" t="s">
        <v>167</v>
      </c>
      <c r="J22" s="7" t="s">
        <v>167</v>
      </c>
      <c r="K22" s="7" t="s">
        <v>167</v>
      </c>
      <c r="L22" s="7" t="s">
        <v>167</v>
      </c>
      <c r="M22" s="7" t="s">
        <v>167</v>
      </c>
      <c r="N22" s="7" t="s">
        <v>167</v>
      </c>
      <c r="O22" s="9" t="s">
        <v>175</v>
      </c>
      <c r="P22" s="6" t="s">
        <v>9</v>
      </c>
      <c r="Q22" s="6" t="s">
        <v>16</v>
      </c>
      <c r="R22" s="6" t="s">
        <v>16</v>
      </c>
      <c r="S22" s="6" t="s">
        <v>16</v>
      </c>
      <c r="T22" s="6" t="s">
        <v>16</v>
      </c>
      <c r="U22" s="6" t="s">
        <v>16</v>
      </c>
      <c r="V22" s="6" t="s">
        <v>16</v>
      </c>
      <c r="W22" s="6" t="s">
        <v>16</v>
      </c>
      <c r="X22" s="6" t="s">
        <v>16</v>
      </c>
      <c r="Y22" s="30">
        <f t="shared" si="1"/>
        <v>1</v>
      </c>
      <c r="Z22" s="6" t="s">
        <v>16</v>
      </c>
      <c r="AA22" s="6" t="s">
        <v>16</v>
      </c>
      <c r="AB22" s="6" t="s">
        <v>16</v>
      </c>
      <c r="AC22" s="43" t="s">
        <v>16</v>
      </c>
      <c r="AE22" s="30">
        <f t="shared" si="0"/>
        <v>0</v>
      </c>
      <c r="AF22" s="6"/>
      <c r="AG22" s="6"/>
      <c r="AH22" s="6"/>
      <c r="AI22" s="6"/>
      <c r="AJ22" s="38" t="s">
        <v>17</v>
      </c>
      <c r="AK22" s="14" t="s">
        <v>179</v>
      </c>
      <c r="AL22" s="2" t="s">
        <v>44</v>
      </c>
    </row>
    <row r="23" spans="1:38" x14ac:dyDescent="0.25">
      <c r="A23" s="2" t="s">
        <v>45</v>
      </c>
      <c r="B23" s="21">
        <v>85985200812</v>
      </c>
      <c r="D23" s="24" t="s">
        <v>20</v>
      </c>
      <c r="E23" s="6" t="s">
        <v>167</v>
      </c>
      <c r="F23" s="7" t="s">
        <v>167</v>
      </c>
      <c r="G23" s="8" t="s">
        <v>168</v>
      </c>
      <c r="H23" s="7" t="s">
        <v>167</v>
      </c>
      <c r="I23" s="7" t="s">
        <v>167</v>
      </c>
      <c r="J23" s="7" t="s">
        <v>167</v>
      </c>
      <c r="K23" s="7" t="s">
        <v>167</v>
      </c>
      <c r="L23" s="7" t="s">
        <v>167</v>
      </c>
      <c r="M23" s="7" t="s">
        <v>167</v>
      </c>
      <c r="N23" s="7" t="s">
        <v>167</v>
      </c>
      <c r="O23" s="9" t="s">
        <v>175</v>
      </c>
      <c r="P23" s="6" t="s">
        <v>9</v>
      </c>
      <c r="Q23" s="6" t="s">
        <v>16</v>
      </c>
      <c r="R23" s="6" t="s">
        <v>16</v>
      </c>
      <c r="S23" s="6" t="s">
        <v>16</v>
      </c>
      <c r="T23" s="6" t="s">
        <v>16</v>
      </c>
      <c r="U23" s="6" t="s">
        <v>16</v>
      </c>
      <c r="V23" s="6" t="s">
        <v>16</v>
      </c>
      <c r="W23" s="6" t="s">
        <v>16</v>
      </c>
      <c r="X23" s="6" t="s">
        <v>16</v>
      </c>
      <c r="Y23" s="30">
        <f t="shared" si="1"/>
        <v>1</v>
      </c>
      <c r="Z23" s="6" t="s">
        <v>16</v>
      </c>
      <c r="AA23" s="6" t="s">
        <v>16</v>
      </c>
      <c r="AB23" s="6" t="s">
        <v>16</v>
      </c>
      <c r="AC23" s="43" t="s">
        <v>16</v>
      </c>
      <c r="AE23" s="30">
        <f t="shared" si="0"/>
        <v>0</v>
      </c>
      <c r="AF23" s="6"/>
      <c r="AG23" s="6"/>
      <c r="AH23" s="6"/>
      <c r="AI23" s="6"/>
      <c r="AJ23" s="38" t="s">
        <v>17</v>
      </c>
      <c r="AK23" s="12" t="s">
        <v>173</v>
      </c>
      <c r="AL23" s="2" t="s">
        <v>46</v>
      </c>
    </row>
    <row r="24" spans="1:38" x14ac:dyDescent="0.25">
      <c r="A24" s="2" t="s">
        <v>47</v>
      </c>
      <c r="B24" s="21">
        <v>85988106809</v>
      </c>
      <c r="C24" s="8" t="s">
        <v>28</v>
      </c>
      <c r="D24" s="25" t="s">
        <v>11</v>
      </c>
      <c r="E24" s="7" t="s">
        <v>167</v>
      </c>
      <c r="F24" s="7" t="s">
        <v>180</v>
      </c>
      <c r="G24" s="7" t="s">
        <v>167</v>
      </c>
      <c r="H24" s="8" t="s">
        <v>168</v>
      </c>
      <c r="I24" s="7" t="s">
        <v>167</v>
      </c>
      <c r="J24" s="8" t="s">
        <v>168</v>
      </c>
      <c r="K24" s="7" t="s">
        <v>167</v>
      </c>
      <c r="L24" s="7" t="s">
        <v>167</v>
      </c>
      <c r="M24" s="7" t="s">
        <v>167</v>
      </c>
      <c r="N24" s="7" t="s">
        <v>167</v>
      </c>
      <c r="O24" s="9" t="s">
        <v>169</v>
      </c>
      <c r="P24" s="6" t="s">
        <v>16</v>
      </c>
      <c r="Q24" s="6" t="s">
        <v>16</v>
      </c>
      <c r="R24" s="6" t="s">
        <v>16</v>
      </c>
      <c r="S24" s="6" t="s">
        <v>9</v>
      </c>
      <c r="T24" s="6" t="s">
        <v>9</v>
      </c>
      <c r="U24" s="6" t="s">
        <v>9</v>
      </c>
      <c r="V24" s="6" t="s">
        <v>9</v>
      </c>
      <c r="W24" s="6" t="s">
        <v>9</v>
      </c>
      <c r="X24" s="6" t="s">
        <v>9</v>
      </c>
      <c r="Y24" s="30">
        <f t="shared" si="1"/>
        <v>6</v>
      </c>
      <c r="Z24" s="6" t="s">
        <v>9</v>
      </c>
      <c r="AA24" s="6" t="s">
        <v>16</v>
      </c>
      <c r="AB24" s="6" t="s">
        <v>9</v>
      </c>
      <c r="AC24" s="43" t="s">
        <v>16</v>
      </c>
      <c r="AE24" s="30">
        <f t="shared" si="0"/>
        <v>2</v>
      </c>
      <c r="AF24" s="6"/>
      <c r="AG24" s="6"/>
      <c r="AH24" s="6"/>
      <c r="AI24" s="6"/>
      <c r="AJ24" s="39" t="s">
        <v>21</v>
      </c>
      <c r="AK24" s="14" t="s">
        <v>171</v>
      </c>
    </row>
    <row r="25" spans="1:38" x14ac:dyDescent="0.25">
      <c r="A25" s="2" t="s">
        <v>48</v>
      </c>
      <c r="B25" s="21">
        <v>85997872897</v>
      </c>
      <c r="P25" s="6" t="s">
        <v>34</v>
      </c>
      <c r="Q25" s="6" t="s">
        <v>34</v>
      </c>
      <c r="R25" s="6" t="s">
        <v>34</v>
      </c>
      <c r="S25" s="6" t="s">
        <v>34</v>
      </c>
      <c r="T25" s="6" t="s">
        <v>34</v>
      </c>
      <c r="U25" s="6" t="s">
        <v>34</v>
      </c>
      <c r="V25" s="6" t="s">
        <v>34</v>
      </c>
      <c r="W25" s="6" t="s">
        <v>34</v>
      </c>
      <c r="X25" s="6" t="s">
        <v>34</v>
      </c>
      <c r="Y25" s="30">
        <f t="shared" si="1"/>
        <v>0</v>
      </c>
      <c r="Z25" s="6" t="s">
        <v>34</v>
      </c>
      <c r="AA25" s="6" t="s">
        <v>34</v>
      </c>
      <c r="AB25" s="6" t="s">
        <v>16</v>
      </c>
      <c r="AC25" s="43" t="s">
        <v>16</v>
      </c>
      <c r="AE25" s="30">
        <f t="shared" si="0"/>
        <v>0</v>
      </c>
      <c r="AF25" s="6"/>
      <c r="AG25" s="6"/>
      <c r="AH25" s="6"/>
      <c r="AI25" s="6"/>
    </row>
    <row r="26" spans="1:38" x14ac:dyDescent="0.25">
      <c r="A26" s="2" t="s">
        <v>49</v>
      </c>
      <c r="B26" s="21">
        <v>85991009712</v>
      </c>
      <c r="C26" s="8" t="s">
        <v>28</v>
      </c>
      <c r="D26" s="25" t="s">
        <v>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6" t="s">
        <v>34</v>
      </c>
      <c r="Q26" s="6" t="s">
        <v>34</v>
      </c>
      <c r="R26" s="6" t="s">
        <v>34</v>
      </c>
      <c r="S26" s="6" t="s">
        <v>34</v>
      </c>
      <c r="T26" s="6" t="s">
        <v>34</v>
      </c>
      <c r="U26" s="6" t="s">
        <v>34</v>
      </c>
      <c r="V26" s="6" t="s">
        <v>34</v>
      </c>
      <c r="W26" s="6" t="s">
        <v>34</v>
      </c>
      <c r="X26" s="6" t="s">
        <v>34</v>
      </c>
      <c r="Y26" s="30">
        <f t="shared" si="1"/>
        <v>0</v>
      </c>
      <c r="Z26" s="6" t="s">
        <v>34</v>
      </c>
      <c r="AA26" s="6" t="s">
        <v>9</v>
      </c>
      <c r="AB26" s="6" t="s">
        <v>9</v>
      </c>
      <c r="AC26" s="43" t="s">
        <v>34</v>
      </c>
      <c r="AE26" s="30">
        <f t="shared" si="0"/>
        <v>2</v>
      </c>
      <c r="AF26" s="6"/>
      <c r="AG26" s="6"/>
      <c r="AH26" s="6"/>
      <c r="AI26" s="6"/>
      <c r="AJ26" s="21"/>
    </row>
    <row r="27" spans="1:38" x14ac:dyDescent="0.25">
      <c r="A27" s="2" t="s">
        <v>50</v>
      </c>
      <c r="B27" s="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6" t="s">
        <v>34</v>
      </c>
      <c r="Q27" s="6" t="s">
        <v>34</v>
      </c>
      <c r="R27" s="6" t="s">
        <v>34</v>
      </c>
      <c r="S27" s="6" t="s">
        <v>34</v>
      </c>
      <c r="T27" s="6" t="s">
        <v>34</v>
      </c>
      <c r="U27" s="6" t="s">
        <v>34</v>
      </c>
      <c r="V27" s="6" t="s">
        <v>34</v>
      </c>
      <c r="W27" s="6" t="s">
        <v>34</v>
      </c>
      <c r="X27" s="6" t="s">
        <v>34</v>
      </c>
      <c r="Y27" s="30">
        <f t="shared" si="1"/>
        <v>0</v>
      </c>
      <c r="Z27" s="6" t="s">
        <v>34</v>
      </c>
      <c r="AA27" s="6" t="s">
        <v>16</v>
      </c>
      <c r="AB27" s="6" t="s">
        <v>16</v>
      </c>
      <c r="AC27" s="43" t="s">
        <v>16</v>
      </c>
      <c r="AE27" s="30">
        <f t="shared" si="0"/>
        <v>0</v>
      </c>
      <c r="AF27" s="6"/>
      <c r="AG27" s="6"/>
      <c r="AH27" s="6"/>
      <c r="AI27" s="6"/>
      <c r="AJ27" s="38" t="s">
        <v>17</v>
      </c>
      <c r="AL27" s="2" t="s">
        <v>32</v>
      </c>
    </row>
    <row r="28" spans="1:38" x14ac:dyDescent="0.25">
      <c r="A28" s="2" t="s">
        <v>51</v>
      </c>
      <c r="B28" s="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6" t="s">
        <v>34</v>
      </c>
      <c r="Q28" s="6" t="s">
        <v>34</v>
      </c>
      <c r="R28" s="6" t="s">
        <v>34</v>
      </c>
      <c r="S28" s="6" t="s">
        <v>34</v>
      </c>
      <c r="T28" s="6" t="s">
        <v>34</v>
      </c>
      <c r="U28" s="6" t="s">
        <v>34</v>
      </c>
      <c r="V28" s="6" t="s">
        <v>34</v>
      </c>
      <c r="W28" s="6" t="s">
        <v>34</v>
      </c>
      <c r="X28" s="6" t="s">
        <v>34</v>
      </c>
      <c r="Y28" s="30">
        <f t="shared" si="1"/>
        <v>0</v>
      </c>
      <c r="Z28" s="6" t="s">
        <v>34</v>
      </c>
      <c r="AA28" s="6" t="s">
        <v>16</v>
      </c>
      <c r="AB28" s="6" t="s">
        <v>16</v>
      </c>
      <c r="AC28" s="43" t="s">
        <v>16</v>
      </c>
      <c r="AE28" s="30">
        <f t="shared" si="0"/>
        <v>0</v>
      </c>
      <c r="AF28" s="6"/>
      <c r="AG28" s="6"/>
      <c r="AH28" s="6"/>
      <c r="AI28" s="6"/>
      <c r="AJ28" s="38" t="s">
        <v>17</v>
      </c>
      <c r="AL28" s="2" t="s">
        <v>32</v>
      </c>
    </row>
    <row r="29" spans="1:38" x14ac:dyDescent="0.25">
      <c r="A29" s="2" t="s">
        <v>52</v>
      </c>
      <c r="B29" s="21">
        <v>85988780579</v>
      </c>
      <c r="C29" s="8" t="s">
        <v>28</v>
      </c>
      <c r="D29" s="25" t="s">
        <v>11</v>
      </c>
      <c r="E29" s="6" t="s">
        <v>167</v>
      </c>
      <c r="F29" s="7" t="s">
        <v>167</v>
      </c>
      <c r="G29" s="7" t="s">
        <v>167</v>
      </c>
      <c r="H29" s="8" t="s">
        <v>168</v>
      </c>
      <c r="I29" s="7" t="s">
        <v>167</v>
      </c>
      <c r="J29" s="8" t="s">
        <v>168</v>
      </c>
      <c r="K29" s="7" t="s">
        <v>167</v>
      </c>
      <c r="L29" s="7" t="s">
        <v>167</v>
      </c>
      <c r="M29" s="7" t="s">
        <v>167</v>
      </c>
      <c r="N29" s="7" t="s">
        <v>167</v>
      </c>
      <c r="O29" s="9" t="s">
        <v>169</v>
      </c>
      <c r="P29" s="6" t="s">
        <v>16</v>
      </c>
      <c r="Q29" s="6" t="s">
        <v>16</v>
      </c>
      <c r="R29" s="6" t="s">
        <v>16</v>
      </c>
      <c r="S29" s="6" t="s">
        <v>9</v>
      </c>
      <c r="T29" s="6" t="s">
        <v>9</v>
      </c>
      <c r="U29" s="6" t="s">
        <v>9</v>
      </c>
      <c r="V29" s="6" t="s">
        <v>9</v>
      </c>
      <c r="W29" s="6" t="s">
        <v>9</v>
      </c>
      <c r="X29" s="6" t="s">
        <v>9</v>
      </c>
      <c r="Y29" s="30">
        <f t="shared" si="1"/>
        <v>6</v>
      </c>
      <c r="Z29" s="6" t="s">
        <v>16</v>
      </c>
      <c r="AA29" s="6" t="s">
        <v>16</v>
      </c>
      <c r="AB29" s="6" t="s">
        <v>9</v>
      </c>
      <c r="AC29" s="43" t="s">
        <v>16</v>
      </c>
      <c r="AE29" s="30">
        <f t="shared" si="0"/>
        <v>1</v>
      </c>
      <c r="AF29" s="6"/>
      <c r="AG29" s="6"/>
      <c r="AH29" s="6"/>
      <c r="AI29" s="6"/>
      <c r="AJ29" s="38" t="s">
        <v>17</v>
      </c>
      <c r="AK29" s="14" t="s">
        <v>171</v>
      </c>
      <c r="AL29" s="2" t="s">
        <v>53</v>
      </c>
    </row>
    <row r="30" spans="1:38" x14ac:dyDescent="0.25">
      <c r="A30" s="2" t="s">
        <v>54</v>
      </c>
      <c r="B30" s="21">
        <v>85988654528</v>
      </c>
      <c r="E30" s="3"/>
      <c r="F30" s="3"/>
      <c r="G30" s="3"/>
      <c r="H30" s="3"/>
      <c r="I30" s="3"/>
      <c r="J30" s="3" t="s">
        <v>13</v>
      </c>
      <c r="K30" s="3"/>
      <c r="L30" s="3"/>
      <c r="M30" s="3"/>
      <c r="N30" s="3"/>
      <c r="O30" s="9" t="s">
        <v>176</v>
      </c>
      <c r="P30" s="6" t="s">
        <v>34</v>
      </c>
      <c r="Q30" s="6" t="s">
        <v>34</v>
      </c>
      <c r="R30" s="6" t="s">
        <v>34</v>
      </c>
      <c r="S30" s="6" t="s">
        <v>34</v>
      </c>
      <c r="T30" s="6" t="s">
        <v>34</v>
      </c>
      <c r="U30" s="6" t="s">
        <v>34</v>
      </c>
      <c r="V30" s="6" t="s">
        <v>34</v>
      </c>
      <c r="W30" s="6" t="s">
        <v>9</v>
      </c>
      <c r="X30" s="6" t="s">
        <v>9</v>
      </c>
      <c r="Y30" s="30">
        <f t="shared" si="1"/>
        <v>2</v>
      </c>
      <c r="Z30" s="6" t="s">
        <v>9</v>
      </c>
      <c r="AA30" s="6" t="s">
        <v>9</v>
      </c>
      <c r="AB30" s="6" t="s">
        <v>9</v>
      </c>
      <c r="AC30" s="43" t="s">
        <v>9</v>
      </c>
      <c r="AE30" s="30">
        <f t="shared" si="0"/>
        <v>4</v>
      </c>
      <c r="AF30" s="6"/>
      <c r="AG30" s="6"/>
      <c r="AH30" s="6"/>
      <c r="AI30" s="6"/>
      <c r="AJ30" s="21"/>
      <c r="AK30" s="12"/>
    </row>
    <row r="31" spans="1:38" x14ac:dyDescent="0.25">
      <c r="A31" s="2" t="s">
        <v>55</v>
      </c>
      <c r="B31" s="21">
        <v>85999083735</v>
      </c>
      <c r="D31" s="27" t="s">
        <v>11</v>
      </c>
      <c r="E31" s="6" t="s">
        <v>167</v>
      </c>
      <c r="F31" s="7" t="s">
        <v>167</v>
      </c>
      <c r="G31" s="7" t="s">
        <v>167</v>
      </c>
      <c r="H31" s="8" t="s">
        <v>168</v>
      </c>
      <c r="I31" s="7" t="s">
        <v>167</v>
      </c>
      <c r="J31" s="8" t="s">
        <v>168</v>
      </c>
      <c r="K31" s="7" t="s">
        <v>167</v>
      </c>
      <c r="L31" s="7" t="s">
        <v>167</v>
      </c>
      <c r="M31" s="7" t="s">
        <v>167</v>
      </c>
      <c r="N31" s="7" t="s">
        <v>167</v>
      </c>
      <c r="O31" s="9" t="s">
        <v>169</v>
      </c>
      <c r="P31" s="6" t="s">
        <v>16</v>
      </c>
      <c r="Q31" s="6" t="s">
        <v>16</v>
      </c>
      <c r="R31" s="6" t="s">
        <v>16</v>
      </c>
      <c r="S31" s="6" t="s">
        <v>9</v>
      </c>
      <c r="T31" s="6" t="s">
        <v>9</v>
      </c>
      <c r="U31" s="6" t="s">
        <v>9</v>
      </c>
      <c r="V31" s="6" t="s">
        <v>16</v>
      </c>
      <c r="W31" s="6" t="s">
        <v>16</v>
      </c>
      <c r="X31" s="6" t="s">
        <v>9</v>
      </c>
      <c r="Y31" s="30">
        <f t="shared" si="1"/>
        <v>4</v>
      </c>
      <c r="Z31" s="6" t="s">
        <v>16</v>
      </c>
      <c r="AA31" s="6" t="s">
        <v>16</v>
      </c>
      <c r="AB31" s="6" t="s">
        <v>16</v>
      </c>
      <c r="AC31" s="43" t="s">
        <v>16</v>
      </c>
      <c r="AE31" s="30">
        <f t="shared" si="0"/>
        <v>0</v>
      </c>
      <c r="AF31" s="6"/>
      <c r="AG31" s="6"/>
      <c r="AH31" s="6"/>
      <c r="AI31" s="6"/>
      <c r="AJ31" s="38" t="s">
        <v>17</v>
      </c>
      <c r="AK31" s="12" t="s">
        <v>173</v>
      </c>
      <c r="AL31" s="2" t="s">
        <v>46</v>
      </c>
    </row>
    <row r="32" spans="1:38" x14ac:dyDescent="0.25">
      <c r="A32" s="29" t="s">
        <v>56</v>
      </c>
      <c r="B32" s="21">
        <v>85996591156</v>
      </c>
      <c r="C32" s="8" t="s">
        <v>28</v>
      </c>
      <c r="D32" s="25" t="s">
        <v>11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 t="s">
        <v>34</v>
      </c>
      <c r="Q32" s="6" t="s">
        <v>34</v>
      </c>
      <c r="R32" s="6" t="s">
        <v>34</v>
      </c>
      <c r="S32" s="6" t="s">
        <v>34</v>
      </c>
      <c r="T32" s="6" t="s">
        <v>34</v>
      </c>
      <c r="U32" s="6" t="s">
        <v>34</v>
      </c>
      <c r="V32" s="6" t="s">
        <v>34</v>
      </c>
      <c r="W32" s="6" t="s">
        <v>34</v>
      </c>
      <c r="X32" s="6" t="s">
        <v>34</v>
      </c>
      <c r="Y32" s="30">
        <f t="shared" si="1"/>
        <v>0</v>
      </c>
      <c r="Z32" s="6" t="s">
        <v>34</v>
      </c>
      <c r="AA32" s="6" t="s">
        <v>34</v>
      </c>
      <c r="AB32" s="6" t="s">
        <v>9</v>
      </c>
      <c r="AC32" s="43" t="s">
        <v>16</v>
      </c>
      <c r="AE32" s="30">
        <f t="shared" si="0"/>
        <v>1</v>
      </c>
      <c r="AF32" s="6"/>
      <c r="AG32" s="6"/>
      <c r="AH32" s="6"/>
      <c r="AI32" s="6"/>
      <c r="AJ32" s="21"/>
      <c r="AK32" s="10"/>
    </row>
    <row r="33" spans="1:38" x14ac:dyDescent="0.25">
      <c r="A33" s="2" t="s">
        <v>57</v>
      </c>
      <c r="B33" s="21">
        <v>85996591156</v>
      </c>
      <c r="O33" s="9" t="s">
        <v>176</v>
      </c>
      <c r="P33" s="6" t="s">
        <v>34</v>
      </c>
      <c r="Q33" s="6" t="s">
        <v>34</v>
      </c>
      <c r="R33" s="6" t="s">
        <v>34</v>
      </c>
      <c r="S33" s="6" t="s">
        <v>34</v>
      </c>
      <c r="T33" s="6" t="s">
        <v>34</v>
      </c>
      <c r="U33" s="6" t="s">
        <v>34</v>
      </c>
      <c r="V33" s="6" t="s">
        <v>34</v>
      </c>
      <c r="W33" s="6" t="s">
        <v>34</v>
      </c>
      <c r="X33" s="6" t="s">
        <v>34</v>
      </c>
      <c r="Y33" s="30">
        <f t="shared" si="1"/>
        <v>0</v>
      </c>
      <c r="Z33" s="6" t="s">
        <v>34</v>
      </c>
      <c r="AA33" s="6" t="s">
        <v>34</v>
      </c>
      <c r="AB33" s="6" t="s">
        <v>9</v>
      </c>
      <c r="AC33" s="43" t="s">
        <v>16</v>
      </c>
      <c r="AE33" s="30">
        <f t="shared" si="0"/>
        <v>1</v>
      </c>
      <c r="AF33" s="6"/>
      <c r="AG33" s="6"/>
      <c r="AH33" s="6"/>
      <c r="AI33" s="6"/>
    </row>
    <row r="34" spans="1:38" x14ac:dyDescent="0.25">
      <c r="A34" s="2" t="s">
        <v>58</v>
      </c>
      <c r="B34" s="21">
        <v>85992610601</v>
      </c>
      <c r="D34" s="24" t="s">
        <v>20</v>
      </c>
      <c r="E34" s="6" t="s">
        <v>167</v>
      </c>
      <c r="F34" s="7" t="s">
        <v>167</v>
      </c>
      <c r="G34" s="7" t="s">
        <v>167</v>
      </c>
      <c r="H34" s="7" t="s">
        <v>167</v>
      </c>
      <c r="I34" s="7" t="s">
        <v>167</v>
      </c>
      <c r="J34" s="7" t="s">
        <v>167</v>
      </c>
      <c r="K34" s="7" t="s">
        <v>167</v>
      </c>
      <c r="L34" s="7" t="s">
        <v>167</v>
      </c>
      <c r="M34" s="7" t="s">
        <v>167</v>
      </c>
      <c r="N34" s="7" t="s">
        <v>167</v>
      </c>
      <c r="O34" s="9" t="s">
        <v>169</v>
      </c>
      <c r="P34" s="6" t="s">
        <v>9</v>
      </c>
      <c r="Q34" s="6" t="s">
        <v>9</v>
      </c>
      <c r="R34" s="6" t="s">
        <v>9</v>
      </c>
      <c r="S34" s="6" t="s">
        <v>9</v>
      </c>
      <c r="T34" s="6" t="s">
        <v>9</v>
      </c>
      <c r="U34" s="6" t="s">
        <v>9</v>
      </c>
      <c r="V34" s="6" t="s">
        <v>9</v>
      </c>
      <c r="W34" s="6" t="s">
        <v>9</v>
      </c>
      <c r="X34" s="6" t="s">
        <v>9</v>
      </c>
      <c r="Y34" s="30">
        <f t="shared" si="1"/>
        <v>9</v>
      </c>
      <c r="Z34" s="6" t="s">
        <v>16</v>
      </c>
      <c r="AA34" s="6" t="s">
        <v>9</v>
      </c>
      <c r="AB34" s="6" t="s">
        <v>9</v>
      </c>
      <c r="AC34" s="43" t="s">
        <v>9</v>
      </c>
      <c r="AE34" s="30">
        <f t="shared" ref="AE34:AE65" si="2">COUNTIF(Z34:AD34,"P")</f>
        <v>3</v>
      </c>
      <c r="AF34" s="6"/>
      <c r="AG34" s="6"/>
      <c r="AH34" s="6"/>
      <c r="AI34" s="6"/>
      <c r="AJ34" s="21"/>
      <c r="AK34" s="14" t="s">
        <v>171</v>
      </c>
    </row>
    <row r="35" spans="1:38" x14ac:dyDescent="0.25">
      <c r="A35" s="2" t="s">
        <v>59</v>
      </c>
      <c r="B35" s="21">
        <v>85988244210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6" t="s">
        <v>34</v>
      </c>
      <c r="Q35" s="6" t="s">
        <v>34</v>
      </c>
      <c r="R35" s="6" t="s">
        <v>34</v>
      </c>
      <c r="S35" s="6" t="s">
        <v>34</v>
      </c>
      <c r="T35" s="6" t="s">
        <v>34</v>
      </c>
      <c r="U35" s="6" t="s">
        <v>34</v>
      </c>
      <c r="V35" s="6" t="s">
        <v>34</v>
      </c>
      <c r="W35" s="6" t="s">
        <v>34</v>
      </c>
      <c r="X35" s="6" t="s">
        <v>34</v>
      </c>
      <c r="Y35" s="30">
        <f t="shared" si="1"/>
        <v>0</v>
      </c>
      <c r="Z35" s="6" t="s">
        <v>9</v>
      </c>
      <c r="AA35" s="6" t="s">
        <v>9</v>
      </c>
      <c r="AB35" s="6" t="s">
        <v>9</v>
      </c>
      <c r="AC35" s="43" t="s">
        <v>9</v>
      </c>
      <c r="AE35" s="30">
        <f t="shared" si="2"/>
        <v>4</v>
      </c>
      <c r="AF35" s="6"/>
      <c r="AG35" s="6"/>
      <c r="AH35" s="6"/>
      <c r="AI35" s="6"/>
      <c r="AJ35" s="21"/>
      <c r="AK35" s="14"/>
    </row>
    <row r="36" spans="1:38" x14ac:dyDescent="0.25">
      <c r="A36" s="2" t="s">
        <v>60</v>
      </c>
      <c r="B36" s="21">
        <v>85999377814</v>
      </c>
      <c r="P36" s="6" t="s">
        <v>34</v>
      </c>
      <c r="Q36" s="6" t="s">
        <v>34</v>
      </c>
      <c r="R36" s="6" t="s">
        <v>34</v>
      </c>
      <c r="S36" s="6" t="s">
        <v>34</v>
      </c>
      <c r="T36" s="6" t="s">
        <v>34</v>
      </c>
      <c r="U36" s="6" t="s">
        <v>34</v>
      </c>
      <c r="V36" s="6" t="s">
        <v>34</v>
      </c>
      <c r="W36" s="6" t="s">
        <v>34</v>
      </c>
      <c r="X36" s="6" t="s">
        <v>34</v>
      </c>
      <c r="Y36" s="30">
        <f t="shared" si="1"/>
        <v>0</v>
      </c>
      <c r="Z36" s="6" t="s">
        <v>34</v>
      </c>
      <c r="AA36" s="6" t="s">
        <v>34</v>
      </c>
      <c r="AB36" s="6" t="s">
        <v>16</v>
      </c>
      <c r="AC36" s="6" t="s">
        <v>16</v>
      </c>
      <c r="AE36" s="30">
        <f t="shared" si="2"/>
        <v>0</v>
      </c>
      <c r="AF36" s="6"/>
      <c r="AG36" s="6"/>
      <c r="AH36" s="6"/>
      <c r="AI36" s="6"/>
      <c r="AJ36" s="40"/>
    </row>
    <row r="37" spans="1:38" x14ac:dyDescent="0.25">
      <c r="A37" s="2" t="s">
        <v>61</v>
      </c>
      <c r="B37" s="21">
        <v>8598736547</v>
      </c>
      <c r="E37" s="3"/>
      <c r="F37" s="3"/>
      <c r="G37" s="3"/>
      <c r="H37" s="3"/>
      <c r="I37" s="3"/>
      <c r="J37" s="3" t="s">
        <v>13</v>
      </c>
      <c r="K37" s="3"/>
      <c r="L37" s="3"/>
      <c r="M37" s="3"/>
      <c r="N37" s="3"/>
      <c r="O37" s="9" t="s">
        <v>176</v>
      </c>
      <c r="P37" s="6" t="s">
        <v>34</v>
      </c>
      <c r="Q37" s="6" t="s">
        <v>34</v>
      </c>
      <c r="R37" s="6" t="s">
        <v>34</v>
      </c>
      <c r="S37" s="6" t="s">
        <v>34</v>
      </c>
      <c r="T37" s="6" t="s">
        <v>34</v>
      </c>
      <c r="U37" s="6" t="s">
        <v>34</v>
      </c>
      <c r="V37" s="6" t="s">
        <v>34</v>
      </c>
      <c r="W37" s="6" t="s">
        <v>34</v>
      </c>
      <c r="X37" s="6" t="s">
        <v>9</v>
      </c>
      <c r="Y37" s="30">
        <f t="shared" si="1"/>
        <v>1</v>
      </c>
      <c r="Z37" s="6" t="s">
        <v>9</v>
      </c>
      <c r="AA37" s="6" t="s">
        <v>9</v>
      </c>
      <c r="AB37" s="6" t="s">
        <v>9</v>
      </c>
      <c r="AC37" s="43" t="s">
        <v>9</v>
      </c>
      <c r="AE37" s="30">
        <f t="shared" si="2"/>
        <v>4</v>
      </c>
      <c r="AF37" s="6"/>
      <c r="AG37" s="6"/>
      <c r="AH37" s="6"/>
      <c r="AI37" s="6"/>
      <c r="AJ37" s="21"/>
      <c r="AK37" s="10"/>
    </row>
    <row r="38" spans="1:38" x14ac:dyDescent="0.25">
      <c r="A38" s="2" t="s">
        <v>62</v>
      </c>
      <c r="B38" s="21">
        <v>85992106623</v>
      </c>
      <c r="D38" s="24" t="s">
        <v>20</v>
      </c>
      <c r="E38" s="6" t="s">
        <v>167</v>
      </c>
      <c r="F38" s="7" t="s">
        <v>167</v>
      </c>
      <c r="G38" s="7" t="s">
        <v>167</v>
      </c>
      <c r="H38" s="7" t="s">
        <v>167</v>
      </c>
      <c r="I38" s="7" t="s">
        <v>167</v>
      </c>
      <c r="J38" s="7" t="s">
        <v>167</v>
      </c>
      <c r="K38" s="7" t="s">
        <v>167</v>
      </c>
      <c r="L38" s="7" t="s">
        <v>167</v>
      </c>
      <c r="M38" s="7" t="s">
        <v>167</v>
      </c>
      <c r="N38" s="7" t="s">
        <v>167</v>
      </c>
      <c r="O38" s="9" t="s">
        <v>175</v>
      </c>
      <c r="P38" s="6" t="s">
        <v>9</v>
      </c>
      <c r="Q38" s="6" t="s">
        <v>16</v>
      </c>
      <c r="R38" s="6" t="s">
        <v>16</v>
      </c>
      <c r="S38" s="6" t="s">
        <v>16</v>
      </c>
      <c r="T38" s="6" t="s">
        <v>16</v>
      </c>
      <c r="U38" s="6" t="s">
        <v>16</v>
      </c>
      <c r="V38" s="6" t="s">
        <v>16</v>
      </c>
      <c r="W38" s="6" t="s">
        <v>16</v>
      </c>
      <c r="X38" s="6" t="s">
        <v>16</v>
      </c>
      <c r="Y38" s="30">
        <f t="shared" si="1"/>
        <v>1</v>
      </c>
      <c r="Z38" s="6" t="s">
        <v>9</v>
      </c>
      <c r="AA38" s="6" t="s">
        <v>9</v>
      </c>
      <c r="AB38" s="6" t="s">
        <v>16</v>
      </c>
      <c r="AC38" s="43" t="s">
        <v>9</v>
      </c>
      <c r="AE38" s="30">
        <f t="shared" si="2"/>
        <v>3</v>
      </c>
      <c r="AF38" s="6"/>
      <c r="AG38" s="6"/>
      <c r="AH38" s="6"/>
      <c r="AI38" s="6"/>
      <c r="AJ38" s="21"/>
      <c r="AK38" s="14" t="s">
        <v>171</v>
      </c>
    </row>
    <row r="39" spans="1:38" x14ac:dyDescent="0.25">
      <c r="A39" s="2" t="s">
        <v>63</v>
      </c>
      <c r="B39" s="21">
        <v>85999382647</v>
      </c>
      <c r="D39" s="24" t="s">
        <v>20</v>
      </c>
      <c r="E39" s="6" t="s">
        <v>167</v>
      </c>
      <c r="F39" s="7" t="s">
        <v>167</v>
      </c>
      <c r="G39" s="8" t="s">
        <v>168</v>
      </c>
      <c r="H39" s="7" t="s">
        <v>167</v>
      </c>
      <c r="I39" s="7" t="s">
        <v>167</v>
      </c>
      <c r="J39" s="7" t="s">
        <v>167</v>
      </c>
      <c r="K39" s="7" t="s">
        <v>167</v>
      </c>
      <c r="L39" s="7" t="s">
        <v>167</v>
      </c>
      <c r="M39" s="7" t="s">
        <v>167</v>
      </c>
      <c r="N39" s="7" t="s">
        <v>167</v>
      </c>
      <c r="O39" s="9" t="s">
        <v>169</v>
      </c>
      <c r="P39" s="6" t="s">
        <v>9</v>
      </c>
      <c r="Q39" s="6" t="s">
        <v>9</v>
      </c>
      <c r="R39" s="6" t="s">
        <v>9</v>
      </c>
      <c r="S39" s="6" t="s">
        <v>9</v>
      </c>
      <c r="T39" s="6" t="s">
        <v>9</v>
      </c>
      <c r="U39" s="6" t="s">
        <v>9</v>
      </c>
      <c r="V39" s="6" t="s">
        <v>9</v>
      </c>
      <c r="W39" s="6" t="s">
        <v>9</v>
      </c>
      <c r="X39" s="6" t="s">
        <v>9</v>
      </c>
      <c r="Y39" s="30">
        <f t="shared" si="1"/>
        <v>9</v>
      </c>
      <c r="Z39" s="6" t="s">
        <v>9</v>
      </c>
      <c r="AA39" s="6" t="s">
        <v>9</v>
      </c>
      <c r="AB39" s="6" t="s">
        <v>9</v>
      </c>
      <c r="AC39" s="43" t="s">
        <v>9</v>
      </c>
      <c r="AE39" s="30">
        <f t="shared" si="2"/>
        <v>4</v>
      </c>
      <c r="AF39" s="6"/>
      <c r="AG39" s="6"/>
      <c r="AH39" s="6"/>
      <c r="AI39" s="6"/>
      <c r="AJ39" s="21"/>
      <c r="AK39" s="14" t="s">
        <v>171</v>
      </c>
    </row>
    <row r="40" spans="1:38" x14ac:dyDescent="0.25">
      <c r="A40" s="2" t="s">
        <v>64</v>
      </c>
      <c r="B40" s="21">
        <v>85992351765</v>
      </c>
      <c r="E40" s="3"/>
      <c r="F40" s="3"/>
      <c r="G40" s="3"/>
      <c r="H40" s="3"/>
      <c r="I40" s="3"/>
      <c r="J40" s="3" t="s">
        <v>13</v>
      </c>
      <c r="K40" s="3"/>
      <c r="L40" s="3"/>
      <c r="M40" s="3"/>
      <c r="N40" s="3"/>
      <c r="O40" s="6" t="s">
        <v>13</v>
      </c>
      <c r="P40" s="6" t="s">
        <v>34</v>
      </c>
      <c r="Q40" s="6" t="s">
        <v>34</v>
      </c>
      <c r="R40" s="6" t="s">
        <v>34</v>
      </c>
      <c r="S40" s="6" t="s">
        <v>34</v>
      </c>
      <c r="T40" s="6" t="s">
        <v>34</v>
      </c>
      <c r="U40" s="6" t="s">
        <v>34</v>
      </c>
      <c r="V40" s="6" t="s">
        <v>34</v>
      </c>
      <c r="W40" s="6" t="s">
        <v>34</v>
      </c>
      <c r="X40" s="6" t="s">
        <v>34</v>
      </c>
      <c r="Y40" s="30">
        <f t="shared" si="1"/>
        <v>0</v>
      </c>
      <c r="Z40" s="6" t="s">
        <v>34</v>
      </c>
      <c r="AA40" s="6" t="s">
        <v>34</v>
      </c>
      <c r="AB40" s="6" t="s">
        <v>16</v>
      </c>
      <c r="AC40" s="43" t="s">
        <v>16</v>
      </c>
      <c r="AE40" s="30">
        <f t="shared" si="2"/>
        <v>0</v>
      </c>
      <c r="AF40" s="6"/>
      <c r="AG40" s="6"/>
      <c r="AH40" s="6"/>
      <c r="AI40" s="6"/>
      <c r="AJ40" s="38" t="s">
        <v>17</v>
      </c>
      <c r="AK40" s="12"/>
      <c r="AL40" s="2" t="s">
        <v>18</v>
      </c>
    </row>
    <row r="41" spans="1:38" x14ac:dyDescent="0.25">
      <c r="A41" s="2" t="s">
        <v>65</v>
      </c>
      <c r="B41" s="2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6" t="s">
        <v>34</v>
      </c>
      <c r="Q41" s="6" t="s">
        <v>34</v>
      </c>
      <c r="R41" s="6" t="s">
        <v>34</v>
      </c>
      <c r="S41" s="6" t="s">
        <v>34</v>
      </c>
      <c r="T41" s="6" t="s">
        <v>34</v>
      </c>
      <c r="U41" s="6" t="s">
        <v>34</v>
      </c>
      <c r="V41" s="6" t="s">
        <v>34</v>
      </c>
      <c r="W41" s="6" t="s">
        <v>34</v>
      </c>
      <c r="X41" s="6" t="s">
        <v>34</v>
      </c>
      <c r="Y41" s="30">
        <f t="shared" si="1"/>
        <v>0</v>
      </c>
      <c r="Z41" s="6" t="s">
        <v>34</v>
      </c>
      <c r="AA41" s="6" t="s">
        <v>16</v>
      </c>
      <c r="AB41" s="6" t="s">
        <v>16</v>
      </c>
      <c r="AC41" s="43" t="s">
        <v>16</v>
      </c>
      <c r="AE41" s="30">
        <f t="shared" si="2"/>
        <v>0</v>
      </c>
      <c r="AF41" s="6"/>
      <c r="AG41" s="6"/>
      <c r="AH41" s="6"/>
      <c r="AI41" s="6"/>
      <c r="AJ41" s="38" t="s">
        <v>17</v>
      </c>
      <c r="AL41" s="2" t="s">
        <v>32</v>
      </c>
    </row>
    <row r="42" spans="1:38" x14ac:dyDescent="0.25">
      <c r="A42" s="2" t="s">
        <v>66</v>
      </c>
      <c r="B42" s="21"/>
      <c r="D42" s="26" t="s">
        <v>13</v>
      </c>
      <c r="E42" s="6" t="s">
        <v>167</v>
      </c>
      <c r="F42" s="7" t="s">
        <v>167</v>
      </c>
      <c r="G42" s="8" t="s">
        <v>168</v>
      </c>
      <c r="H42" s="7" t="s">
        <v>167</v>
      </c>
      <c r="I42" s="7" t="s">
        <v>167</v>
      </c>
      <c r="J42" s="7" t="s">
        <v>167</v>
      </c>
      <c r="K42" s="7" t="s">
        <v>167</v>
      </c>
      <c r="L42" s="7" t="s">
        <v>167</v>
      </c>
      <c r="M42" s="7" t="s">
        <v>167</v>
      </c>
      <c r="N42" s="7" t="s">
        <v>167</v>
      </c>
      <c r="O42" s="9" t="s">
        <v>169</v>
      </c>
      <c r="P42" s="6" t="s">
        <v>9</v>
      </c>
      <c r="Q42" s="6" t="s">
        <v>9</v>
      </c>
      <c r="R42" s="6" t="s">
        <v>9</v>
      </c>
      <c r="S42" s="6" t="s">
        <v>9</v>
      </c>
      <c r="T42" s="6" t="s">
        <v>9</v>
      </c>
      <c r="U42" s="6" t="s">
        <v>9</v>
      </c>
      <c r="V42" s="6" t="s">
        <v>16</v>
      </c>
      <c r="W42" s="6" t="s">
        <v>16</v>
      </c>
      <c r="X42" s="6" t="s">
        <v>9</v>
      </c>
      <c r="Y42" s="30">
        <f t="shared" si="1"/>
        <v>7</v>
      </c>
      <c r="Z42" s="6" t="s">
        <v>16</v>
      </c>
      <c r="AA42" s="6" t="s">
        <v>16</v>
      </c>
      <c r="AB42" s="6" t="s">
        <v>9</v>
      </c>
      <c r="AC42" s="43" t="s">
        <v>9</v>
      </c>
      <c r="AE42" s="30">
        <f t="shared" si="2"/>
        <v>2</v>
      </c>
      <c r="AF42" s="6"/>
      <c r="AG42" s="6"/>
      <c r="AH42" s="6"/>
      <c r="AI42" s="6"/>
      <c r="AJ42" s="38" t="s">
        <v>17</v>
      </c>
      <c r="AK42" s="14" t="s">
        <v>171</v>
      </c>
      <c r="AL42" s="2" t="s">
        <v>32</v>
      </c>
    </row>
    <row r="43" spans="1:38" x14ac:dyDescent="0.25">
      <c r="A43" s="2" t="s">
        <v>67</v>
      </c>
      <c r="B43" s="21">
        <v>85992190726</v>
      </c>
      <c r="D43" s="24" t="s">
        <v>13</v>
      </c>
      <c r="E43" s="6" t="s">
        <v>167</v>
      </c>
      <c r="F43" s="7" t="s">
        <v>167</v>
      </c>
      <c r="G43" s="7" t="s">
        <v>167</v>
      </c>
      <c r="H43" s="7" t="s">
        <v>167</v>
      </c>
      <c r="I43" s="7" t="s">
        <v>167</v>
      </c>
      <c r="J43" s="7" t="s">
        <v>167</v>
      </c>
      <c r="K43" s="7" t="s">
        <v>167</v>
      </c>
      <c r="L43" s="7" t="s">
        <v>167</v>
      </c>
      <c r="M43" s="7" t="s">
        <v>167</v>
      </c>
      <c r="N43" s="7" t="s">
        <v>167</v>
      </c>
      <c r="O43" s="9" t="s">
        <v>169</v>
      </c>
      <c r="P43" s="6" t="s">
        <v>9</v>
      </c>
      <c r="Q43" s="6" t="s">
        <v>16</v>
      </c>
      <c r="R43" s="6" t="s">
        <v>16</v>
      </c>
      <c r="S43" s="6" t="s">
        <v>16</v>
      </c>
      <c r="T43" s="6" t="s">
        <v>16</v>
      </c>
      <c r="U43" s="6" t="s">
        <v>9</v>
      </c>
      <c r="V43" s="6" t="s">
        <v>9</v>
      </c>
      <c r="W43" s="6" t="s">
        <v>9</v>
      </c>
      <c r="X43" s="6" t="s">
        <v>9</v>
      </c>
      <c r="Y43" s="30">
        <f t="shared" si="1"/>
        <v>5</v>
      </c>
      <c r="Z43" s="6" t="s">
        <v>16</v>
      </c>
      <c r="AA43" s="6" t="s">
        <v>9</v>
      </c>
      <c r="AB43" s="6" t="s">
        <v>9</v>
      </c>
      <c r="AC43" s="43" t="s">
        <v>9</v>
      </c>
      <c r="AE43" s="30">
        <f t="shared" si="2"/>
        <v>3</v>
      </c>
      <c r="AF43" s="6"/>
      <c r="AG43" s="6"/>
      <c r="AH43" s="6"/>
      <c r="AI43" s="6"/>
      <c r="AJ43" s="21"/>
      <c r="AK43" s="14" t="s">
        <v>171</v>
      </c>
    </row>
    <row r="44" spans="1:38" x14ac:dyDescent="0.25">
      <c r="A44" s="2" t="s">
        <v>68</v>
      </c>
      <c r="B44" s="21">
        <v>85996299781</v>
      </c>
      <c r="D44" s="24" t="s">
        <v>20</v>
      </c>
      <c r="E44" s="6" t="s">
        <v>167</v>
      </c>
      <c r="F44" s="7" t="s">
        <v>167</v>
      </c>
      <c r="G44" s="7" t="s">
        <v>167</v>
      </c>
      <c r="H44" s="8" t="s">
        <v>168</v>
      </c>
      <c r="I44" s="7" t="s">
        <v>167</v>
      </c>
      <c r="J44" s="8" t="s">
        <v>168</v>
      </c>
      <c r="K44" s="7" t="s">
        <v>167</v>
      </c>
      <c r="L44" s="7" t="s">
        <v>167</v>
      </c>
      <c r="M44" s="7" t="s">
        <v>167</v>
      </c>
      <c r="N44" s="7" t="s">
        <v>167</v>
      </c>
      <c r="O44" s="9" t="s">
        <v>169</v>
      </c>
      <c r="P44" s="6" t="s">
        <v>16</v>
      </c>
      <c r="Q44" s="6" t="s">
        <v>9</v>
      </c>
      <c r="R44" s="6" t="s">
        <v>9</v>
      </c>
      <c r="S44" s="6" t="s">
        <v>9</v>
      </c>
      <c r="T44" s="6" t="s">
        <v>9</v>
      </c>
      <c r="U44" s="6" t="s">
        <v>9</v>
      </c>
      <c r="V44" s="6" t="s">
        <v>9</v>
      </c>
      <c r="W44" s="6" t="s">
        <v>16</v>
      </c>
      <c r="X44" s="6" t="s">
        <v>9</v>
      </c>
      <c r="Y44" s="30">
        <f>COUNTIF(P44:X44,"P")</f>
        <v>7</v>
      </c>
      <c r="Z44" s="6" t="s">
        <v>9</v>
      </c>
      <c r="AA44" s="6" t="s">
        <v>16</v>
      </c>
      <c r="AB44" s="6" t="s">
        <v>23</v>
      </c>
      <c r="AC44" s="43" t="s">
        <v>9</v>
      </c>
      <c r="AE44" s="30">
        <f t="shared" si="2"/>
        <v>2</v>
      </c>
      <c r="AF44" s="6"/>
      <c r="AG44" s="6"/>
      <c r="AH44" s="6"/>
      <c r="AI44" s="6"/>
      <c r="AJ44" s="39" t="s">
        <v>21</v>
      </c>
      <c r="AK44" s="14" t="s">
        <v>170</v>
      </c>
      <c r="AL44" s="2" t="s">
        <v>69</v>
      </c>
    </row>
    <row r="45" spans="1:38" x14ac:dyDescent="0.25">
      <c r="A45" s="2" t="s">
        <v>70</v>
      </c>
      <c r="B45" s="21">
        <v>85994354818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6" t="s">
        <v>34</v>
      </c>
      <c r="Q45" s="6" t="s">
        <v>34</v>
      </c>
      <c r="R45" s="6" t="s">
        <v>34</v>
      </c>
      <c r="S45" s="6" t="s">
        <v>34</v>
      </c>
      <c r="T45" s="6" t="s">
        <v>34</v>
      </c>
      <c r="U45" s="6" t="s">
        <v>34</v>
      </c>
      <c r="V45" s="6" t="s">
        <v>34</v>
      </c>
      <c r="W45" s="6" t="s">
        <v>34</v>
      </c>
      <c r="X45" s="6" t="s">
        <v>34</v>
      </c>
      <c r="Y45" s="30">
        <f t="shared" si="1"/>
        <v>0</v>
      </c>
      <c r="Z45" s="6" t="s">
        <v>9</v>
      </c>
      <c r="AA45" s="6" t="s">
        <v>9</v>
      </c>
      <c r="AB45" s="6" t="s">
        <v>9</v>
      </c>
      <c r="AC45" s="43" t="s">
        <v>9</v>
      </c>
      <c r="AE45" s="30">
        <f t="shared" si="2"/>
        <v>4</v>
      </c>
      <c r="AF45" s="6"/>
      <c r="AG45" s="6"/>
      <c r="AH45" s="6"/>
      <c r="AI45" s="6"/>
      <c r="AJ45" s="21"/>
    </row>
    <row r="46" spans="1:38" x14ac:dyDescent="0.25">
      <c r="A46" s="2" t="s">
        <v>71</v>
      </c>
      <c r="B46" s="21">
        <v>85986791028</v>
      </c>
      <c r="D46" s="24" t="s">
        <v>20</v>
      </c>
      <c r="E46" s="6" t="s">
        <v>167</v>
      </c>
      <c r="F46" s="6" t="s">
        <v>168</v>
      </c>
      <c r="G46" s="6" t="s">
        <v>168</v>
      </c>
      <c r="H46" s="6" t="s">
        <v>168</v>
      </c>
      <c r="I46" s="6" t="s">
        <v>168</v>
      </c>
      <c r="J46" s="6" t="s">
        <v>168</v>
      </c>
      <c r="K46" s="6" t="s">
        <v>168</v>
      </c>
      <c r="L46" s="6" t="s">
        <v>168</v>
      </c>
      <c r="M46" s="6" t="s">
        <v>168</v>
      </c>
      <c r="N46" s="6" t="s">
        <v>168</v>
      </c>
      <c r="O46" s="6" t="s">
        <v>13</v>
      </c>
      <c r="P46" s="6" t="s">
        <v>34</v>
      </c>
      <c r="Q46" s="6" t="s">
        <v>34</v>
      </c>
      <c r="R46" s="6" t="s">
        <v>34</v>
      </c>
      <c r="S46" s="6" t="s">
        <v>34</v>
      </c>
      <c r="T46" s="6" t="s">
        <v>34</v>
      </c>
      <c r="U46" s="6" t="s">
        <v>34</v>
      </c>
      <c r="V46" s="6" t="s">
        <v>34</v>
      </c>
      <c r="W46" s="6" t="s">
        <v>34</v>
      </c>
      <c r="X46" s="6" t="s">
        <v>34</v>
      </c>
      <c r="Y46" s="30">
        <f t="shared" si="1"/>
        <v>0</v>
      </c>
      <c r="Z46" s="6" t="s">
        <v>34</v>
      </c>
      <c r="AA46" s="6" t="s">
        <v>34</v>
      </c>
      <c r="AB46" s="6" t="s">
        <v>16</v>
      </c>
      <c r="AC46" s="43" t="s">
        <v>9</v>
      </c>
      <c r="AE46" s="30">
        <f t="shared" si="2"/>
        <v>1</v>
      </c>
      <c r="AF46" s="6"/>
      <c r="AG46" s="6"/>
      <c r="AH46" s="6"/>
      <c r="AI46" s="6"/>
      <c r="AJ46" s="38" t="s">
        <v>17</v>
      </c>
      <c r="AK46" s="15" t="s">
        <v>181</v>
      </c>
      <c r="AL46" s="2" t="s">
        <v>18</v>
      </c>
    </row>
    <row r="47" spans="1:38" x14ac:dyDescent="0.25">
      <c r="A47" s="2" t="s">
        <v>72</v>
      </c>
      <c r="B47" s="21">
        <v>85992502845</v>
      </c>
      <c r="D47" s="27" t="s">
        <v>11</v>
      </c>
      <c r="E47" s="6" t="s">
        <v>167</v>
      </c>
      <c r="F47" s="7" t="s">
        <v>167</v>
      </c>
      <c r="G47" s="8" t="s">
        <v>168</v>
      </c>
      <c r="H47" s="7" t="s">
        <v>167</v>
      </c>
      <c r="I47" s="7" t="s">
        <v>167</v>
      </c>
      <c r="J47" s="7" t="s">
        <v>167</v>
      </c>
      <c r="K47" s="7" t="s">
        <v>167</v>
      </c>
      <c r="L47" s="7" t="s">
        <v>167</v>
      </c>
      <c r="M47" s="7" t="s">
        <v>167</v>
      </c>
      <c r="N47" s="7" t="s">
        <v>167</v>
      </c>
      <c r="O47" s="9" t="s">
        <v>169</v>
      </c>
      <c r="P47" s="6" t="s">
        <v>9</v>
      </c>
      <c r="Q47" s="6" t="s">
        <v>9</v>
      </c>
      <c r="R47" s="6" t="s">
        <v>9</v>
      </c>
      <c r="S47" s="6" t="s">
        <v>9</v>
      </c>
      <c r="T47" s="6" t="s">
        <v>9</v>
      </c>
      <c r="U47" s="6" t="s">
        <v>9</v>
      </c>
      <c r="V47" s="6" t="s">
        <v>9</v>
      </c>
      <c r="W47" s="6" t="s">
        <v>9</v>
      </c>
      <c r="X47" s="6" t="s">
        <v>9</v>
      </c>
      <c r="Y47" s="30">
        <f t="shared" si="1"/>
        <v>9</v>
      </c>
      <c r="Z47" s="6" t="s">
        <v>16</v>
      </c>
      <c r="AA47" s="6" t="s">
        <v>9</v>
      </c>
      <c r="AB47" s="6" t="s">
        <v>9</v>
      </c>
      <c r="AC47" s="43" t="s">
        <v>9</v>
      </c>
      <c r="AE47" s="30">
        <f t="shared" si="2"/>
        <v>3</v>
      </c>
      <c r="AF47" s="6"/>
      <c r="AG47" s="6"/>
      <c r="AH47" s="6"/>
      <c r="AI47" s="6"/>
      <c r="AJ47" s="21"/>
      <c r="AK47" s="12" t="s">
        <v>173</v>
      </c>
    </row>
    <row r="48" spans="1:38" x14ac:dyDescent="0.25">
      <c r="A48" s="2" t="s">
        <v>75</v>
      </c>
      <c r="B48" s="21"/>
      <c r="D48" s="24" t="s">
        <v>13</v>
      </c>
      <c r="E48" s="6" t="s">
        <v>167</v>
      </c>
      <c r="F48" s="7" t="s">
        <v>167</v>
      </c>
      <c r="G48" s="8" t="s">
        <v>168</v>
      </c>
      <c r="H48" s="7" t="s">
        <v>167</v>
      </c>
      <c r="I48" s="7" t="s">
        <v>167</v>
      </c>
      <c r="J48" s="7" t="s">
        <v>167</v>
      </c>
      <c r="K48" s="7" t="s">
        <v>167</v>
      </c>
      <c r="L48" s="7" t="s">
        <v>167</v>
      </c>
      <c r="M48" s="7" t="s">
        <v>167</v>
      </c>
      <c r="N48" s="7" t="s">
        <v>167</v>
      </c>
      <c r="O48" s="9" t="s">
        <v>175</v>
      </c>
      <c r="P48" s="6" t="s">
        <v>9</v>
      </c>
      <c r="Q48" s="6" t="s">
        <v>16</v>
      </c>
      <c r="R48" s="6" t="s">
        <v>16</v>
      </c>
      <c r="S48" s="6" t="s">
        <v>16</v>
      </c>
      <c r="T48" s="6" t="s">
        <v>16</v>
      </c>
      <c r="U48" s="6" t="s">
        <v>16</v>
      </c>
      <c r="V48" s="6" t="s">
        <v>16</v>
      </c>
      <c r="W48" s="6" t="s">
        <v>16</v>
      </c>
      <c r="X48" s="6" t="s">
        <v>16</v>
      </c>
      <c r="Y48" s="30">
        <f t="shared" si="1"/>
        <v>1</v>
      </c>
      <c r="Z48" s="6" t="s">
        <v>16</v>
      </c>
      <c r="AA48" s="6" t="s">
        <v>16</v>
      </c>
      <c r="AB48" s="6" t="s">
        <v>9</v>
      </c>
      <c r="AC48" s="43" t="s">
        <v>9</v>
      </c>
      <c r="AE48" s="30">
        <f t="shared" si="2"/>
        <v>2</v>
      </c>
      <c r="AF48" s="6"/>
      <c r="AG48" s="6"/>
      <c r="AH48" s="6"/>
      <c r="AI48" s="6"/>
      <c r="AJ48" s="38" t="s">
        <v>17</v>
      </c>
      <c r="AK48" s="13" t="s">
        <v>182</v>
      </c>
      <c r="AL48" s="2" t="s">
        <v>76</v>
      </c>
    </row>
    <row r="49" spans="1:38" s="3" customFormat="1" x14ac:dyDescent="0.25">
      <c r="A49" s="2" t="s">
        <v>77</v>
      </c>
      <c r="B49" s="21"/>
      <c r="C49" s="6"/>
      <c r="D49" s="24" t="s">
        <v>20</v>
      </c>
      <c r="E49" s="6" t="s">
        <v>167</v>
      </c>
      <c r="F49" s="7" t="s">
        <v>167</v>
      </c>
      <c r="G49" s="7" t="s">
        <v>167</v>
      </c>
      <c r="H49" s="7" t="s">
        <v>167</v>
      </c>
      <c r="I49" s="7" t="s">
        <v>167</v>
      </c>
      <c r="J49" s="7" t="s">
        <v>167</v>
      </c>
      <c r="K49" s="7" t="s">
        <v>167</v>
      </c>
      <c r="L49" s="7" t="s">
        <v>167</v>
      </c>
      <c r="M49" s="7" t="s">
        <v>167</v>
      </c>
      <c r="N49" s="7" t="s">
        <v>167</v>
      </c>
      <c r="O49" s="9" t="s">
        <v>169</v>
      </c>
      <c r="P49" s="6" t="s">
        <v>9</v>
      </c>
      <c r="Q49" s="6" t="s">
        <v>16</v>
      </c>
      <c r="R49" s="6" t="s">
        <v>16</v>
      </c>
      <c r="S49" s="6" t="s">
        <v>16</v>
      </c>
      <c r="T49" s="6" t="s">
        <v>16</v>
      </c>
      <c r="U49" s="6" t="s">
        <v>9</v>
      </c>
      <c r="V49" s="6" t="s">
        <v>9</v>
      </c>
      <c r="W49" s="6" t="s">
        <v>9</v>
      </c>
      <c r="X49" s="6" t="s">
        <v>9</v>
      </c>
      <c r="Y49" s="30">
        <f t="shared" si="1"/>
        <v>5</v>
      </c>
      <c r="Z49" s="6" t="s">
        <v>16</v>
      </c>
      <c r="AA49" s="6" t="s">
        <v>16</v>
      </c>
      <c r="AB49" s="6" t="s">
        <v>23</v>
      </c>
      <c r="AC49" s="43" t="s">
        <v>16</v>
      </c>
      <c r="AD49" s="6"/>
      <c r="AE49" s="30">
        <f t="shared" si="2"/>
        <v>0</v>
      </c>
      <c r="AF49" s="6"/>
      <c r="AG49" s="6"/>
      <c r="AH49" s="6"/>
      <c r="AI49" s="6"/>
      <c r="AJ49" s="38" t="s">
        <v>17</v>
      </c>
      <c r="AK49" s="14" t="s">
        <v>171</v>
      </c>
      <c r="AL49" s="2" t="s">
        <v>32</v>
      </c>
    </row>
    <row r="50" spans="1:38" x14ac:dyDescent="0.25">
      <c r="A50" s="2" t="s">
        <v>78</v>
      </c>
      <c r="B50" s="21"/>
      <c r="D50" s="24" t="s">
        <v>13</v>
      </c>
      <c r="E50" s="6" t="s">
        <v>167</v>
      </c>
      <c r="F50" s="7" t="s">
        <v>167</v>
      </c>
      <c r="G50" s="7" t="s">
        <v>167</v>
      </c>
      <c r="H50" s="7" t="s">
        <v>167</v>
      </c>
      <c r="I50" s="7" t="s">
        <v>167</v>
      </c>
      <c r="J50" s="7" t="s">
        <v>167</v>
      </c>
      <c r="K50" s="7" t="s">
        <v>167</v>
      </c>
      <c r="L50" s="7" t="s">
        <v>167</v>
      </c>
      <c r="M50" s="7" t="s">
        <v>167</v>
      </c>
      <c r="N50" s="7" t="s">
        <v>167</v>
      </c>
      <c r="O50" s="9" t="s">
        <v>169</v>
      </c>
      <c r="P50" s="6" t="s">
        <v>9</v>
      </c>
      <c r="Q50" s="6" t="s">
        <v>9</v>
      </c>
      <c r="R50" s="6" t="s">
        <v>9</v>
      </c>
      <c r="S50" s="6" t="s">
        <v>9</v>
      </c>
      <c r="T50" s="6" t="s">
        <v>9</v>
      </c>
      <c r="U50" s="6" t="s">
        <v>9</v>
      </c>
      <c r="V50" s="6" t="s">
        <v>9</v>
      </c>
      <c r="W50" s="6" t="s">
        <v>9</v>
      </c>
      <c r="X50" s="6" t="s">
        <v>9</v>
      </c>
      <c r="Y50" s="30">
        <f t="shared" si="1"/>
        <v>9</v>
      </c>
      <c r="Z50" s="6" t="s">
        <v>9</v>
      </c>
      <c r="AA50" s="6" t="s">
        <v>9</v>
      </c>
      <c r="AB50" s="6" t="s">
        <v>9</v>
      </c>
      <c r="AC50" s="43" t="s">
        <v>9</v>
      </c>
      <c r="AE50" s="30">
        <f t="shared" si="2"/>
        <v>4</v>
      </c>
      <c r="AF50" s="6"/>
      <c r="AG50" s="6"/>
      <c r="AH50" s="6"/>
      <c r="AI50" s="6"/>
      <c r="AJ50" s="21"/>
      <c r="AK50" s="14" t="s">
        <v>171</v>
      </c>
      <c r="AL50" s="2" t="s">
        <v>79</v>
      </c>
    </row>
    <row r="51" spans="1:38" x14ac:dyDescent="0.25">
      <c r="A51" s="2" t="s">
        <v>80</v>
      </c>
      <c r="B51" s="21">
        <v>85988546147</v>
      </c>
      <c r="D51" s="24" t="s">
        <v>13</v>
      </c>
      <c r="E51" s="6" t="s">
        <v>167</v>
      </c>
      <c r="F51" s="7" t="s">
        <v>167</v>
      </c>
      <c r="G51" s="8" t="s">
        <v>168</v>
      </c>
      <c r="H51" s="7" t="s">
        <v>167</v>
      </c>
      <c r="I51" s="7" t="s">
        <v>167</v>
      </c>
      <c r="J51" s="7" t="s">
        <v>167</v>
      </c>
      <c r="K51" s="7" t="s">
        <v>167</v>
      </c>
      <c r="L51" s="7" t="s">
        <v>167</v>
      </c>
      <c r="M51" s="7" t="s">
        <v>167</v>
      </c>
      <c r="N51" s="7" t="s">
        <v>167</v>
      </c>
      <c r="O51" s="9" t="s">
        <v>175</v>
      </c>
      <c r="P51" s="6" t="s">
        <v>9</v>
      </c>
      <c r="Q51" s="6" t="s">
        <v>16</v>
      </c>
      <c r="R51" s="6" t="s">
        <v>16</v>
      </c>
      <c r="S51" s="6" t="s">
        <v>16</v>
      </c>
      <c r="T51" s="6" t="s">
        <v>16</v>
      </c>
      <c r="U51" s="6" t="s">
        <v>16</v>
      </c>
      <c r="V51" s="6" t="s">
        <v>16</v>
      </c>
      <c r="W51" s="6" t="s">
        <v>16</v>
      </c>
      <c r="X51" s="6" t="s">
        <v>16</v>
      </c>
      <c r="Y51" s="30">
        <f t="shared" si="1"/>
        <v>1</v>
      </c>
      <c r="Z51" s="6" t="s">
        <v>16</v>
      </c>
      <c r="AA51" s="6" t="s">
        <v>16</v>
      </c>
      <c r="AB51" s="6" t="s">
        <v>16</v>
      </c>
      <c r="AC51" s="43" t="s">
        <v>16</v>
      </c>
      <c r="AE51" s="30">
        <f t="shared" si="2"/>
        <v>0</v>
      </c>
      <c r="AF51" s="6"/>
      <c r="AG51" s="6"/>
      <c r="AH51" s="6"/>
      <c r="AI51" s="6"/>
      <c r="AJ51" s="38" t="s">
        <v>17</v>
      </c>
      <c r="AK51" s="13" t="s">
        <v>183</v>
      </c>
      <c r="AL51" s="2" t="s">
        <v>81</v>
      </c>
    </row>
    <row r="52" spans="1:38" x14ac:dyDescent="0.25">
      <c r="A52" s="2" t="s">
        <v>82</v>
      </c>
      <c r="B52" s="21">
        <v>85986465995</v>
      </c>
      <c r="E52" s="3"/>
      <c r="F52" s="3"/>
      <c r="G52" s="3"/>
      <c r="H52" s="3"/>
      <c r="I52" s="3"/>
      <c r="J52" s="3" t="s">
        <v>13</v>
      </c>
      <c r="K52" s="3"/>
      <c r="L52" s="3"/>
      <c r="M52" s="3"/>
      <c r="N52" s="3"/>
      <c r="O52" s="9" t="s">
        <v>176</v>
      </c>
      <c r="P52" s="6" t="s">
        <v>34</v>
      </c>
      <c r="Q52" s="6" t="s">
        <v>34</v>
      </c>
      <c r="R52" s="6" t="s">
        <v>34</v>
      </c>
      <c r="S52" s="6" t="s">
        <v>34</v>
      </c>
      <c r="T52" s="6" t="s">
        <v>34</v>
      </c>
      <c r="U52" s="6" t="s">
        <v>34</v>
      </c>
      <c r="V52" s="6" t="s">
        <v>34</v>
      </c>
      <c r="W52" s="6" t="s">
        <v>9</v>
      </c>
      <c r="X52" s="6" t="s">
        <v>34</v>
      </c>
      <c r="Y52" s="30">
        <f t="shared" si="1"/>
        <v>1</v>
      </c>
      <c r="Z52" s="6" t="s">
        <v>9</v>
      </c>
      <c r="AA52" s="6" t="s">
        <v>9</v>
      </c>
      <c r="AB52" s="6" t="s">
        <v>9</v>
      </c>
      <c r="AC52" s="43" t="s">
        <v>9</v>
      </c>
      <c r="AE52" s="30">
        <f t="shared" si="2"/>
        <v>4</v>
      </c>
      <c r="AF52" s="6"/>
      <c r="AG52" s="6"/>
      <c r="AH52" s="6"/>
      <c r="AI52" s="6"/>
      <c r="AJ52" s="21"/>
      <c r="AK52" s="10"/>
    </row>
    <row r="53" spans="1:38" x14ac:dyDescent="0.25">
      <c r="A53" s="2" t="s">
        <v>83</v>
      </c>
      <c r="B53" s="21">
        <v>85994019391</v>
      </c>
      <c r="D53" s="24" t="s">
        <v>20</v>
      </c>
      <c r="E53" s="6" t="s">
        <v>167</v>
      </c>
      <c r="F53" s="7" t="s">
        <v>167</v>
      </c>
      <c r="G53" s="7" t="s">
        <v>167</v>
      </c>
      <c r="H53" s="7" t="s">
        <v>167</v>
      </c>
      <c r="I53" s="7" t="s">
        <v>167</v>
      </c>
      <c r="J53" s="7" t="s">
        <v>167</v>
      </c>
      <c r="K53" s="7" t="s">
        <v>167</v>
      </c>
      <c r="L53" s="7" t="s">
        <v>167</v>
      </c>
      <c r="M53" s="7" t="s">
        <v>167</v>
      </c>
      <c r="N53" s="7" t="s">
        <v>167</v>
      </c>
      <c r="O53" s="9" t="s">
        <v>169</v>
      </c>
      <c r="P53" s="6" t="s">
        <v>9</v>
      </c>
      <c r="Q53" s="6" t="s">
        <v>9</v>
      </c>
      <c r="R53" s="6" t="s">
        <v>9</v>
      </c>
      <c r="S53" s="6" t="s">
        <v>9</v>
      </c>
      <c r="T53" s="6" t="s">
        <v>9</v>
      </c>
      <c r="U53" s="6" t="s">
        <v>9</v>
      </c>
      <c r="V53" s="6" t="s">
        <v>16</v>
      </c>
      <c r="W53" s="6" t="s">
        <v>16</v>
      </c>
      <c r="X53" s="6" t="s">
        <v>9</v>
      </c>
      <c r="Y53" s="30">
        <f t="shared" si="1"/>
        <v>7</v>
      </c>
      <c r="Z53" s="6" t="s">
        <v>16</v>
      </c>
      <c r="AA53" s="6" t="s">
        <v>16</v>
      </c>
      <c r="AB53" s="6" t="s">
        <v>9</v>
      </c>
      <c r="AC53" s="43" t="s">
        <v>9</v>
      </c>
      <c r="AE53" s="30">
        <f t="shared" si="2"/>
        <v>2</v>
      </c>
      <c r="AF53" s="6"/>
      <c r="AG53" s="6"/>
      <c r="AH53" s="6"/>
      <c r="AI53" s="6"/>
      <c r="AJ53" s="38" t="s">
        <v>17</v>
      </c>
      <c r="AK53" s="14" t="s">
        <v>171</v>
      </c>
      <c r="AL53" s="2" t="s">
        <v>18</v>
      </c>
    </row>
    <row r="54" spans="1:38" x14ac:dyDescent="0.25">
      <c r="A54" s="2" t="s">
        <v>84</v>
      </c>
      <c r="B54" s="21">
        <v>85985526867</v>
      </c>
      <c r="D54" s="24" t="s">
        <v>20</v>
      </c>
      <c r="E54" s="6" t="s">
        <v>167</v>
      </c>
      <c r="F54" s="6" t="s">
        <v>168</v>
      </c>
      <c r="G54" s="6" t="s">
        <v>168</v>
      </c>
      <c r="H54" s="6" t="s">
        <v>168</v>
      </c>
      <c r="I54" s="6" t="s">
        <v>168</v>
      </c>
      <c r="J54" s="6" t="s">
        <v>168</v>
      </c>
      <c r="K54" s="6" t="s">
        <v>168</v>
      </c>
      <c r="L54" s="6" t="s">
        <v>168</v>
      </c>
      <c r="M54" s="6" t="s">
        <v>168</v>
      </c>
      <c r="N54" s="6" t="s">
        <v>168</v>
      </c>
      <c r="O54" s="6" t="s">
        <v>13</v>
      </c>
      <c r="P54" s="6" t="s">
        <v>34</v>
      </c>
      <c r="Q54" s="6" t="s">
        <v>34</v>
      </c>
      <c r="R54" s="6" t="s">
        <v>34</v>
      </c>
      <c r="S54" s="6" t="s">
        <v>34</v>
      </c>
      <c r="T54" s="6" t="s">
        <v>34</v>
      </c>
      <c r="U54" s="6" t="s">
        <v>34</v>
      </c>
      <c r="V54" s="6" t="s">
        <v>34</v>
      </c>
      <c r="W54" s="6" t="s">
        <v>34</v>
      </c>
      <c r="X54" s="6" t="s">
        <v>34</v>
      </c>
      <c r="Y54" s="30">
        <f t="shared" si="1"/>
        <v>0</v>
      </c>
      <c r="Z54" s="6" t="s">
        <v>34</v>
      </c>
      <c r="AA54" s="6" t="s">
        <v>34</v>
      </c>
      <c r="AB54" s="6" t="s">
        <v>16</v>
      </c>
      <c r="AC54" s="43" t="s">
        <v>16</v>
      </c>
      <c r="AE54" s="30">
        <f t="shared" si="2"/>
        <v>0</v>
      </c>
      <c r="AF54" s="6"/>
      <c r="AG54" s="6"/>
      <c r="AH54" s="6"/>
      <c r="AI54" s="6"/>
      <c r="AJ54" s="38" t="s">
        <v>17</v>
      </c>
      <c r="AK54" s="10" t="s">
        <v>173</v>
      </c>
      <c r="AL54" s="2" t="s">
        <v>85</v>
      </c>
    </row>
    <row r="55" spans="1:38" x14ac:dyDescent="0.25">
      <c r="A55" s="2" t="s">
        <v>86</v>
      </c>
      <c r="B55" s="21">
        <v>85991579502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 t="s">
        <v>34</v>
      </c>
      <c r="Q55" s="6" t="s">
        <v>34</v>
      </c>
      <c r="R55" s="6" t="s">
        <v>34</v>
      </c>
      <c r="S55" s="6" t="s">
        <v>34</v>
      </c>
      <c r="T55" s="6" t="s">
        <v>34</v>
      </c>
      <c r="U55" s="6" t="s">
        <v>34</v>
      </c>
      <c r="V55" s="6" t="s">
        <v>34</v>
      </c>
      <c r="W55" s="6" t="s">
        <v>34</v>
      </c>
      <c r="X55" s="6" t="s">
        <v>34</v>
      </c>
      <c r="Y55" s="30">
        <f t="shared" si="1"/>
        <v>0</v>
      </c>
      <c r="Z55" s="6" t="s">
        <v>9</v>
      </c>
      <c r="AA55" s="6" t="s">
        <v>9</v>
      </c>
      <c r="AB55" s="6" t="s">
        <v>16</v>
      </c>
      <c r="AC55" s="43" t="s">
        <v>23</v>
      </c>
      <c r="AE55" s="30">
        <f t="shared" si="2"/>
        <v>2</v>
      </c>
      <c r="AF55" s="6"/>
      <c r="AG55" s="6"/>
      <c r="AH55" s="6"/>
      <c r="AI55" s="6"/>
      <c r="AJ55" s="21"/>
    </row>
    <row r="56" spans="1:38" x14ac:dyDescent="0.25">
      <c r="A56" s="2" t="s">
        <v>87</v>
      </c>
      <c r="B56" s="21">
        <v>85991579502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 t="s">
        <v>34</v>
      </c>
      <c r="Q56" s="6" t="s">
        <v>34</v>
      </c>
      <c r="R56" s="6" t="s">
        <v>34</v>
      </c>
      <c r="S56" s="6" t="s">
        <v>34</v>
      </c>
      <c r="T56" s="6" t="s">
        <v>34</v>
      </c>
      <c r="U56" s="6" t="s">
        <v>34</v>
      </c>
      <c r="V56" s="6" t="s">
        <v>34</v>
      </c>
      <c r="W56" s="6" t="s">
        <v>34</v>
      </c>
      <c r="X56" s="6" t="s">
        <v>34</v>
      </c>
      <c r="Y56" s="30">
        <f t="shared" si="1"/>
        <v>0</v>
      </c>
      <c r="Z56" s="6" t="s">
        <v>16</v>
      </c>
      <c r="AA56" s="6" t="s">
        <v>16</v>
      </c>
      <c r="AB56" s="6" t="s">
        <v>16</v>
      </c>
      <c r="AC56" s="43" t="s">
        <v>16</v>
      </c>
      <c r="AE56" s="30">
        <f t="shared" si="2"/>
        <v>0</v>
      </c>
      <c r="AF56" s="6"/>
      <c r="AG56" s="6"/>
      <c r="AH56" s="6"/>
      <c r="AI56" s="6"/>
      <c r="AJ56" s="38" t="s">
        <v>17</v>
      </c>
      <c r="AL56" s="2" t="s">
        <v>88</v>
      </c>
    </row>
    <row r="57" spans="1:38" s="32" customFormat="1" x14ac:dyDescent="0.25">
      <c r="A57" s="32" t="s">
        <v>89</v>
      </c>
      <c r="B57" s="33">
        <v>8599447040</v>
      </c>
      <c r="C57" s="34"/>
      <c r="D57" s="35" t="s">
        <v>20</v>
      </c>
      <c r="E57" s="34" t="s">
        <v>167</v>
      </c>
      <c r="F57" s="34" t="s">
        <v>167</v>
      </c>
      <c r="G57" s="34" t="s">
        <v>168</v>
      </c>
      <c r="H57" s="34" t="s">
        <v>167</v>
      </c>
      <c r="I57" s="34" t="s">
        <v>167</v>
      </c>
      <c r="J57" s="34" t="s">
        <v>167</v>
      </c>
      <c r="K57" s="34" t="s">
        <v>167</v>
      </c>
      <c r="L57" s="34" t="s">
        <v>167</v>
      </c>
      <c r="M57" s="34" t="s">
        <v>167</v>
      </c>
      <c r="N57" s="34" t="s">
        <v>167</v>
      </c>
      <c r="O57" s="34" t="s">
        <v>175</v>
      </c>
      <c r="P57" s="34" t="s">
        <v>9</v>
      </c>
      <c r="Q57" s="34" t="s">
        <v>16</v>
      </c>
      <c r="R57" s="34" t="s">
        <v>16</v>
      </c>
      <c r="S57" s="34" t="s">
        <v>16</v>
      </c>
      <c r="T57" s="34" t="s">
        <v>16</v>
      </c>
      <c r="U57" s="34" t="s">
        <v>16</v>
      </c>
      <c r="V57" s="34" t="s">
        <v>16</v>
      </c>
      <c r="W57" s="34" t="s">
        <v>16</v>
      </c>
      <c r="X57" s="34" t="s">
        <v>16</v>
      </c>
      <c r="Y57" s="34">
        <f t="shared" si="1"/>
        <v>1</v>
      </c>
      <c r="Z57" s="34" t="s">
        <v>16</v>
      </c>
      <c r="AA57" s="34" t="s">
        <v>16</v>
      </c>
      <c r="AB57" s="34" t="s">
        <v>16</v>
      </c>
      <c r="AC57" s="35"/>
      <c r="AD57" s="34"/>
      <c r="AE57" s="34">
        <f t="shared" si="2"/>
        <v>0</v>
      </c>
      <c r="AF57" s="41"/>
      <c r="AG57" s="41"/>
      <c r="AH57" s="41"/>
      <c r="AI57" s="41"/>
      <c r="AJ57" s="33" t="s">
        <v>17</v>
      </c>
      <c r="AK57" s="36" t="s">
        <v>184</v>
      </c>
      <c r="AL57" s="32" t="s">
        <v>88</v>
      </c>
    </row>
    <row r="58" spans="1:38" x14ac:dyDescent="0.25">
      <c r="A58" s="2" t="s">
        <v>90</v>
      </c>
      <c r="B58" s="21">
        <v>85991186787</v>
      </c>
      <c r="E58" s="3"/>
      <c r="F58" s="3"/>
      <c r="G58" s="3"/>
      <c r="H58" s="3"/>
      <c r="I58" s="3"/>
      <c r="J58" s="3" t="s">
        <v>13</v>
      </c>
      <c r="K58" s="3"/>
      <c r="L58" s="3"/>
      <c r="M58" s="3"/>
      <c r="N58" s="3"/>
      <c r="O58" s="9" t="s">
        <v>176</v>
      </c>
      <c r="P58" s="6" t="s">
        <v>34</v>
      </c>
      <c r="Q58" s="6" t="s">
        <v>34</v>
      </c>
      <c r="R58" s="6" t="s">
        <v>34</v>
      </c>
      <c r="S58" s="6" t="s">
        <v>34</v>
      </c>
      <c r="T58" s="6" t="s">
        <v>34</v>
      </c>
      <c r="U58" s="6" t="s">
        <v>34</v>
      </c>
      <c r="V58" s="6" t="s">
        <v>34</v>
      </c>
      <c r="W58" s="6" t="s">
        <v>34</v>
      </c>
      <c r="X58" s="6" t="s">
        <v>9</v>
      </c>
      <c r="Y58" s="30">
        <f t="shared" si="1"/>
        <v>1</v>
      </c>
      <c r="Z58" s="6" t="s">
        <v>16</v>
      </c>
      <c r="AA58" s="6" t="s">
        <v>9</v>
      </c>
      <c r="AB58" s="6" t="s">
        <v>9</v>
      </c>
      <c r="AC58" s="43" t="s">
        <v>9</v>
      </c>
      <c r="AE58" s="30">
        <f t="shared" si="2"/>
        <v>3</v>
      </c>
      <c r="AF58" s="6"/>
      <c r="AG58" s="6"/>
      <c r="AH58" s="6"/>
      <c r="AI58" s="6"/>
      <c r="AJ58" s="21"/>
      <c r="AK58" s="10"/>
    </row>
    <row r="59" spans="1:38" x14ac:dyDescent="0.25">
      <c r="A59" s="2" t="s">
        <v>91</v>
      </c>
      <c r="B59" s="21">
        <v>85992833418</v>
      </c>
      <c r="E59" s="3"/>
      <c r="F59" s="3"/>
      <c r="G59" s="3"/>
      <c r="H59" s="3"/>
      <c r="I59" s="3"/>
      <c r="J59" s="3" t="s">
        <v>13</v>
      </c>
      <c r="K59" s="3"/>
      <c r="L59" s="3"/>
      <c r="M59" s="3"/>
      <c r="N59" s="3"/>
      <c r="O59" s="9" t="s">
        <v>176</v>
      </c>
      <c r="P59" s="6" t="s">
        <v>34</v>
      </c>
      <c r="Q59" s="6" t="s">
        <v>34</v>
      </c>
      <c r="R59" s="6" t="s">
        <v>34</v>
      </c>
      <c r="S59" s="6" t="s">
        <v>34</v>
      </c>
      <c r="T59" s="6" t="s">
        <v>34</v>
      </c>
      <c r="U59" s="6" t="s">
        <v>34</v>
      </c>
      <c r="V59" s="6" t="s">
        <v>34</v>
      </c>
      <c r="W59" s="6" t="s">
        <v>34</v>
      </c>
      <c r="X59" s="6" t="s">
        <v>9</v>
      </c>
      <c r="Y59" s="30">
        <f t="shared" si="1"/>
        <v>1</v>
      </c>
      <c r="Z59" s="6" t="s">
        <v>16</v>
      </c>
      <c r="AA59" s="6" t="s">
        <v>16</v>
      </c>
      <c r="AB59" s="6" t="s">
        <v>9</v>
      </c>
      <c r="AC59" s="43" t="s">
        <v>9</v>
      </c>
      <c r="AE59" s="30">
        <f t="shared" si="2"/>
        <v>2</v>
      </c>
      <c r="AF59" s="6"/>
      <c r="AG59" s="6"/>
      <c r="AH59" s="6"/>
      <c r="AI59" s="6"/>
      <c r="AJ59" s="38" t="s">
        <v>17</v>
      </c>
      <c r="AK59" s="10"/>
      <c r="AL59" s="2" t="s">
        <v>92</v>
      </c>
    </row>
    <row r="60" spans="1:38" x14ac:dyDescent="0.25">
      <c r="A60" s="2" t="s">
        <v>93</v>
      </c>
      <c r="B60" s="21">
        <v>85997649845</v>
      </c>
      <c r="D60" s="24" t="s">
        <v>13</v>
      </c>
      <c r="E60" s="6" t="s">
        <v>167</v>
      </c>
      <c r="F60" s="8" t="s">
        <v>168</v>
      </c>
      <c r="G60" s="8" t="s">
        <v>168</v>
      </c>
      <c r="H60" s="8" t="s">
        <v>168</v>
      </c>
      <c r="I60" s="8" t="s">
        <v>168</v>
      </c>
      <c r="J60" s="8" t="s">
        <v>168</v>
      </c>
      <c r="K60" s="7" t="s">
        <v>167</v>
      </c>
      <c r="L60" s="7" t="s">
        <v>167</v>
      </c>
      <c r="M60" s="7" t="s">
        <v>167</v>
      </c>
      <c r="N60" s="8" t="s">
        <v>168</v>
      </c>
      <c r="O60" s="9" t="s">
        <v>169</v>
      </c>
      <c r="P60" s="6" t="s">
        <v>16</v>
      </c>
      <c r="Q60" s="6" t="s">
        <v>16</v>
      </c>
      <c r="R60" s="6" t="s">
        <v>16</v>
      </c>
      <c r="S60" s="6" t="s">
        <v>16</v>
      </c>
      <c r="T60" s="6" t="s">
        <v>16</v>
      </c>
      <c r="U60" s="6" t="s">
        <v>9</v>
      </c>
      <c r="V60" s="6" t="s">
        <v>9</v>
      </c>
      <c r="W60" s="6" t="s">
        <v>9</v>
      </c>
      <c r="X60" s="6" t="s">
        <v>9</v>
      </c>
      <c r="Y60" s="30">
        <f t="shared" si="1"/>
        <v>4</v>
      </c>
      <c r="Z60" s="6" t="s">
        <v>16</v>
      </c>
      <c r="AA60" s="6" t="s">
        <v>9</v>
      </c>
      <c r="AB60" s="6" t="s">
        <v>9</v>
      </c>
      <c r="AC60" s="43" t="s">
        <v>9</v>
      </c>
      <c r="AE60" s="30">
        <f t="shared" si="2"/>
        <v>3</v>
      </c>
      <c r="AF60" s="6"/>
      <c r="AG60" s="6"/>
      <c r="AH60" s="6"/>
      <c r="AI60" s="6"/>
      <c r="AJ60" s="21"/>
      <c r="AK60" s="14" t="s">
        <v>171</v>
      </c>
    </row>
    <row r="61" spans="1:38" x14ac:dyDescent="0.25">
      <c r="A61" s="2" t="s">
        <v>94</v>
      </c>
      <c r="B61" s="21"/>
      <c r="D61" s="24" t="s">
        <v>95</v>
      </c>
      <c r="E61" s="6" t="s">
        <v>167</v>
      </c>
      <c r="F61" s="7" t="s">
        <v>167</v>
      </c>
      <c r="G61" s="7" t="s">
        <v>167</v>
      </c>
      <c r="H61" s="8" t="s">
        <v>168</v>
      </c>
      <c r="I61" s="7" t="s">
        <v>167</v>
      </c>
      <c r="J61" s="8" t="s">
        <v>168</v>
      </c>
      <c r="K61" s="7" t="s">
        <v>167</v>
      </c>
      <c r="L61" s="7" t="s">
        <v>167</v>
      </c>
      <c r="M61" s="7" t="s">
        <v>167</v>
      </c>
      <c r="N61" s="7" t="s">
        <v>167</v>
      </c>
      <c r="O61" s="9" t="s">
        <v>169</v>
      </c>
      <c r="P61" s="6" t="s">
        <v>16</v>
      </c>
      <c r="Q61" s="6" t="s">
        <v>16</v>
      </c>
      <c r="R61" s="6" t="s">
        <v>9</v>
      </c>
      <c r="S61" s="6" t="s">
        <v>16</v>
      </c>
      <c r="T61" s="6" t="s">
        <v>9</v>
      </c>
      <c r="U61" s="6" t="s">
        <v>9</v>
      </c>
      <c r="V61" s="6" t="s">
        <v>9</v>
      </c>
      <c r="W61" s="6" t="s">
        <v>9</v>
      </c>
      <c r="X61" s="6" t="s">
        <v>9</v>
      </c>
      <c r="Y61" s="30">
        <f t="shared" si="1"/>
        <v>6</v>
      </c>
      <c r="Z61" s="6" t="s">
        <v>9</v>
      </c>
      <c r="AA61" s="6" t="s">
        <v>9</v>
      </c>
      <c r="AB61" s="6" t="s">
        <v>16</v>
      </c>
      <c r="AC61" s="43" t="s">
        <v>9</v>
      </c>
      <c r="AE61" s="30">
        <f t="shared" si="2"/>
        <v>3</v>
      </c>
      <c r="AF61" s="6"/>
      <c r="AG61" s="6"/>
      <c r="AH61" s="6"/>
      <c r="AI61" s="6"/>
      <c r="AJ61" s="21"/>
      <c r="AK61" s="15" t="s">
        <v>185</v>
      </c>
    </row>
    <row r="62" spans="1:38" x14ac:dyDescent="0.25">
      <c r="A62" s="2" t="s">
        <v>96</v>
      </c>
      <c r="B62" s="21"/>
      <c r="D62" s="24" t="s">
        <v>20</v>
      </c>
      <c r="E62" s="6" t="s">
        <v>167</v>
      </c>
      <c r="F62" s="7" t="s">
        <v>167</v>
      </c>
      <c r="G62" s="7" t="s">
        <v>167</v>
      </c>
      <c r="H62" s="7" t="s">
        <v>167</v>
      </c>
      <c r="I62" s="7" t="s">
        <v>167</v>
      </c>
      <c r="J62" s="7" t="s">
        <v>167</v>
      </c>
      <c r="K62" s="7" t="s">
        <v>167</v>
      </c>
      <c r="L62" s="7" t="s">
        <v>167</v>
      </c>
      <c r="M62" s="7" t="s">
        <v>167</v>
      </c>
      <c r="N62" s="7" t="s">
        <v>167</v>
      </c>
      <c r="O62" s="9" t="s">
        <v>169</v>
      </c>
      <c r="P62" s="6" t="s">
        <v>9</v>
      </c>
      <c r="Q62" s="6" t="s">
        <v>16</v>
      </c>
      <c r="R62" s="6" t="s">
        <v>9</v>
      </c>
      <c r="S62" s="6" t="s">
        <v>16</v>
      </c>
      <c r="T62" s="6" t="s">
        <v>9</v>
      </c>
      <c r="U62" s="6" t="s">
        <v>9</v>
      </c>
      <c r="V62" s="6" t="s">
        <v>16</v>
      </c>
      <c r="W62" s="6" t="s">
        <v>9</v>
      </c>
      <c r="X62" s="6" t="s">
        <v>9</v>
      </c>
      <c r="Y62" s="30">
        <f t="shared" si="1"/>
        <v>6</v>
      </c>
      <c r="Z62" s="6" t="s">
        <v>9</v>
      </c>
      <c r="AA62" s="6" t="s">
        <v>16</v>
      </c>
      <c r="AB62" s="6" t="s">
        <v>9</v>
      </c>
      <c r="AC62" s="43" t="s">
        <v>9</v>
      </c>
      <c r="AE62" s="30">
        <f t="shared" si="2"/>
        <v>3</v>
      </c>
      <c r="AF62" s="6"/>
      <c r="AG62" s="6"/>
      <c r="AH62" s="6"/>
      <c r="AI62" s="6"/>
      <c r="AJ62" s="39" t="s">
        <v>21</v>
      </c>
      <c r="AK62" s="14" t="s">
        <v>171</v>
      </c>
    </row>
    <row r="63" spans="1:38" x14ac:dyDescent="0.25">
      <c r="A63" s="2" t="s">
        <v>97</v>
      </c>
      <c r="B63" s="21">
        <v>85999861244</v>
      </c>
      <c r="D63" s="27" t="s">
        <v>11</v>
      </c>
      <c r="E63" s="6" t="s">
        <v>167</v>
      </c>
      <c r="F63" s="7" t="s">
        <v>167</v>
      </c>
      <c r="G63" s="7" t="s">
        <v>167</v>
      </c>
      <c r="H63" s="7" t="s">
        <v>167</v>
      </c>
      <c r="I63" s="7" t="s">
        <v>167</v>
      </c>
      <c r="J63" s="7" t="s">
        <v>167</v>
      </c>
      <c r="K63" s="7" t="s">
        <v>167</v>
      </c>
      <c r="L63" s="7" t="s">
        <v>167</v>
      </c>
      <c r="M63" s="7" t="s">
        <v>186</v>
      </c>
      <c r="N63" s="7" t="s">
        <v>167</v>
      </c>
      <c r="O63" s="9" t="s">
        <v>169</v>
      </c>
      <c r="P63" s="6" t="s">
        <v>9</v>
      </c>
      <c r="Q63" s="6" t="s">
        <v>9</v>
      </c>
      <c r="R63" s="6" t="s">
        <v>9</v>
      </c>
      <c r="S63" s="6" t="s">
        <v>9</v>
      </c>
      <c r="T63" s="6" t="s">
        <v>9</v>
      </c>
      <c r="U63" s="6" t="s">
        <v>9</v>
      </c>
      <c r="V63" s="6" t="s">
        <v>9</v>
      </c>
      <c r="W63" s="6" t="s">
        <v>9</v>
      </c>
      <c r="X63" s="6" t="s">
        <v>16</v>
      </c>
      <c r="Y63" s="30">
        <f t="shared" si="1"/>
        <v>8</v>
      </c>
      <c r="Z63" s="6" t="s">
        <v>16</v>
      </c>
      <c r="AA63" s="6" t="s">
        <v>9</v>
      </c>
      <c r="AB63" s="6" t="s">
        <v>9</v>
      </c>
      <c r="AC63" s="43" t="s">
        <v>9</v>
      </c>
      <c r="AE63" s="30">
        <f t="shared" si="2"/>
        <v>3</v>
      </c>
      <c r="AF63" s="6"/>
      <c r="AG63" s="6"/>
      <c r="AH63" s="6"/>
      <c r="AI63" s="6"/>
      <c r="AJ63" s="21"/>
      <c r="AK63" s="14" t="s">
        <v>171</v>
      </c>
    </row>
    <row r="64" spans="1:38" x14ac:dyDescent="0.25">
      <c r="A64" s="2" t="s">
        <v>98</v>
      </c>
      <c r="B64" s="21">
        <v>85985424242</v>
      </c>
      <c r="E64" s="3"/>
      <c r="F64" s="3"/>
      <c r="G64" s="3"/>
      <c r="H64" s="3"/>
      <c r="I64" s="3"/>
      <c r="J64" s="3" t="s">
        <v>13</v>
      </c>
      <c r="K64" s="3"/>
      <c r="L64" s="3"/>
      <c r="M64" s="3"/>
      <c r="N64" s="3"/>
      <c r="O64" s="9" t="s">
        <v>176</v>
      </c>
      <c r="P64" s="6" t="s">
        <v>34</v>
      </c>
      <c r="Q64" s="6" t="s">
        <v>34</v>
      </c>
      <c r="R64" s="6" t="s">
        <v>34</v>
      </c>
      <c r="S64" s="6" t="s">
        <v>34</v>
      </c>
      <c r="T64" s="6" t="s">
        <v>34</v>
      </c>
      <c r="U64" s="6" t="s">
        <v>9</v>
      </c>
      <c r="V64" s="6" t="s">
        <v>9</v>
      </c>
      <c r="W64" s="6" t="s">
        <v>9</v>
      </c>
      <c r="X64" s="6" t="s">
        <v>9</v>
      </c>
      <c r="Y64" s="30">
        <f t="shared" si="1"/>
        <v>4</v>
      </c>
      <c r="Z64" s="6" t="s">
        <v>16</v>
      </c>
      <c r="AA64" s="6" t="s">
        <v>9</v>
      </c>
      <c r="AB64" s="6" t="s">
        <v>16</v>
      </c>
      <c r="AC64" s="43" t="s">
        <v>16</v>
      </c>
      <c r="AE64" s="30">
        <f t="shared" si="2"/>
        <v>1</v>
      </c>
      <c r="AF64" s="6"/>
      <c r="AG64" s="6"/>
      <c r="AH64" s="6"/>
      <c r="AI64" s="6"/>
      <c r="AJ64" s="21"/>
      <c r="AK64" s="14"/>
    </row>
    <row r="65" spans="1:38" x14ac:dyDescent="0.25">
      <c r="A65" s="2" t="s">
        <v>99</v>
      </c>
      <c r="B65" s="21">
        <v>85987483121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6" t="s">
        <v>34</v>
      </c>
      <c r="Q65" s="6" t="s">
        <v>34</v>
      </c>
      <c r="R65" s="6" t="s">
        <v>34</v>
      </c>
      <c r="S65" s="6" t="s">
        <v>34</v>
      </c>
      <c r="T65" s="6" t="s">
        <v>34</v>
      </c>
      <c r="U65" s="6" t="s">
        <v>34</v>
      </c>
      <c r="V65" s="6" t="s">
        <v>34</v>
      </c>
      <c r="W65" s="6" t="s">
        <v>34</v>
      </c>
      <c r="X65" s="6" t="s">
        <v>34</v>
      </c>
      <c r="Y65" s="30">
        <f t="shared" si="1"/>
        <v>0</v>
      </c>
      <c r="Z65" s="6" t="s">
        <v>9</v>
      </c>
      <c r="AA65" s="6" t="s">
        <v>16</v>
      </c>
      <c r="AB65" s="6" t="s">
        <v>9</v>
      </c>
      <c r="AC65" s="43" t="s">
        <v>16</v>
      </c>
      <c r="AE65" s="30">
        <f t="shared" si="2"/>
        <v>2</v>
      </c>
      <c r="AF65" s="6"/>
      <c r="AG65" s="6"/>
      <c r="AH65" s="6"/>
      <c r="AI65" s="6"/>
      <c r="AJ65" s="39" t="s">
        <v>21</v>
      </c>
    </row>
    <row r="66" spans="1:38" x14ac:dyDescent="0.25">
      <c r="A66" s="2" t="s">
        <v>100</v>
      </c>
      <c r="B66" s="21">
        <v>85997872897</v>
      </c>
      <c r="P66" s="6" t="s">
        <v>34</v>
      </c>
      <c r="Q66" s="6" t="s">
        <v>34</v>
      </c>
      <c r="R66" s="6" t="s">
        <v>34</v>
      </c>
      <c r="S66" s="6" t="s">
        <v>34</v>
      </c>
      <c r="T66" s="6" t="s">
        <v>34</v>
      </c>
      <c r="U66" s="6" t="s">
        <v>34</v>
      </c>
      <c r="V66" s="6" t="s">
        <v>34</v>
      </c>
      <c r="W66" s="6" t="s">
        <v>34</v>
      </c>
      <c r="X66" s="6" t="s">
        <v>34</v>
      </c>
      <c r="Y66" s="30">
        <f t="shared" ref="Y66:Y69" si="3">COUNTIF(P66:X66,"P")</f>
        <v>0</v>
      </c>
      <c r="Z66" s="6" t="s">
        <v>34</v>
      </c>
      <c r="AA66" s="6" t="s">
        <v>34</v>
      </c>
      <c r="AB66" s="6" t="s">
        <v>34</v>
      </c>
      <c r="AC66" s="43" t="s">
        <v>34</v>
      </c>
      <c r="AE66" s="30">
        <f t="shared" ref="AE66:AE87" si="4">COUNTIF(Z66:AD66,"P")</f>
        <v>0</v>
      </c>
      <c r="AF66" s="6"/>
      <c r="AG66" s="6"/>
      <c r="AH66" s="6"/>
      <c r="AI66" s="6"/>
    </row>
    <row r="67" spans="1:38" x14ac:dyDescent="0.25">
      <c r="A67" s="2" t="s">
        <v>101</v>
      </c>
      <c r="B67" s="21">
        <v>85998482047</v>
      </c>
      <c r="D67" s="27" t="s">
        <v>11</v>
      </c>
      <c r="E67" s="6" t="s">
        <v>167</v>
      </c>
      <c r="F67" s="7" t="s">
        <v>167</v>
      </c>
      <c r="G67" s="7" t="s">
        <v>167</v>
      </c>
      <c r="H67" s="7" t="s">
        <v>167</v>
      </c>
      <c r="I67" s="7" t="s">
        <v>167</v>
      </c>
      <c r="J67" s="7" t="s">
        <v>167</v>
      </c>
      <c r="K67" s="7" t="s">
        <v>167</v>
      </c>
      <c r="L67" s="7" t="s">
        <v>167</v>
      </c>
      <c r="M67" s="7" t="s">
        <v>167</v>
      </c>
      <c r="N67" s="7" t="s">
        <v>167</v>
      </c>
      <c r="O67" s="9" t="s">
        <v>169</v>
      </c>
      <c r="P67" s="6" t="s">
        <v>9</v>
      </c>
      <c r="Q67" s="6" t="s">
        <v>9</v>
      </c>
      <c r="R67" s="6" t="s">
        <v>9</v>
      </c>
      <c r="S67" s="6" t="s">
        <v>9</v>
      </c>
      <c r="T67" s="6" t="s">
        <v>9</v>
      </c>
      <c r="U67" s="6" t="s">
        <v>9</v>
      </c>
      <c r="V67" s="6" t="s">
        <v>9</v>
      </c>
      <c r="W67" s="6" t="s">
        <v>9</v>
      </c>
      <c r="X67" s="6" t="s">
        <v>9</v>
      </c>
      <c r="Y67" s="30">
        <f t="shared" si="3"/>
        <v>9</v>
      </c>
      <c r="Z67" s="6" t="s">
        <v>9</v>
      </c>
      <c r="AA67" s="6" t="s">
        <v>16</v>
      </c>
      <c r="AB67" s="6" t="s">
        <v>9</v>
      </c>
      <c r="AC67" s="43" t="s">
        <v>9</v>
      </c>
      <c r="AE67" s="30">
        <f t="shared" si="4"/>
        <v>3</v>
      </c>
      <c r="AF67" s="6"/>
      <c r="AG67" s="6"/>
      <c r="AH67" s="6"/>
      <c r="AI67" s="6"/>
      <c r="AJ67" s="39" t="s">
        <v>21</v>
      </c>
      <c r="AK67" s="14" t="s">
        <v>171</v>
      </c>
      <c r="AL67" s="2" t="s">
        <v>102</v>
      </c>
    </row>
    <row r="68" spans="1:38" x14ac:dyDescent="0.25">
      <c r="A68" s="2" t="s">
        <v>103</v>
      </c>
      <c r="B68" s="21">
        <v>85999478074</v>
      </c>
      <c r="C68" s="8" t="s">
        <v>28</v>
      </c>
      <c r="D68" s="25" t="s">
        <v>11</v>
      </c>
      <c r="E68" s="6" t="s">
        <v>167</v>
      </c>
      <c r="F68" s="7" t="s">
        <v>167</v>
      </c>
      <c r="G68" s="7" t="s">
        <v>167</v>
      </c>
      <c r="H68" s="7" t="s">
        <v>167</v>
      </c>
      <c r="I68" s="7" t="s">
        <v>167</v>
      </c>
      <c r="J68" s="7" t="s">
        <v>167</v>
      </c>
      <c r="K68" s="7" t="s">
        <v>167</v>
      </c>
      <c r="L68" s="7" t="s">
        <v>167</v>
      </c>
      <c r="M68" s="7" t="s">
        <v>167</v>
      </c>
      <c r="N68" s="7" t="s">
        <v>167</v>
      </c>
      <c r="O68" s="9" t="s">
        <v>169</v>
      </c>
      <c r="P68" s="6" t="s">
        <v>9</v>
      </c>
      <c r="Q68" s="6" t="s">
        <v>9</v>
      </c>
      <c r="R68" s="6" t="s">
        <v>9</v>
      </c>
      <c r="S68" s="6" t="s">
        <v>9</v>
      </c>
      <c r="T68" s="6" t="s">
        <v>9</v>
      </c>
      <c r="U68" s="6" t="s">
        <v>16</v>
      </c>
      <c r="V68" s="6" t="s">
        <v>16</v>
      </c>
      <c r="W68" s="6" t="s">
        <v>16</v>
      </c>
      <c r="X68" s="6" t="s">
        <v>16</v>
      </c>
      <c r="Y68" s="30">
        <f t="shared" si="3"/>
        <v>5</v>
      </c>
      <c r="Z68" s="6" t="s">
        <v>9</v>
      </c>
      <c r="AA68" s="6" t="s">
        <v>16</v>
      </c>
      <c r="AB68" s="6" t="s">
        <v>9</v>
      </c>
      <c r="AC68" s="43" t="s">
        <v>16</v>
      </c>
      <c r="AE68" s="30">
        <f t="shared" si="4"/>
        <v>2</v>
      </c>
      <c r="AF68" s="6"/>
      <c r="AG68" s="6"/>
      <c r="AH68" s="6"/>
      <c r="AI68" s="6"/>
      <c r="AJ68" s="39" t="s">
        <v>21</v>
      </c>
      <c r="AK68" s="14" t="s">
        <v>171</v>
      </c>
    </row>
    <row r="69" spans="1:38" x14ac:dyDescent="0.25">
      <c r="A69" s="2" t="s">
        <v>104</v>
      </c>
      <c r="B69" s="21">
        <v>85989723811</v>
      </c>
      <c r="E69" s="3"/>
      <c r="F69" s="3"/>
      <c r="G69" s="3"/>
      <c r="H69" s="3"/>
      <c r="I69" s="3"/>
      <c r="J69" s="3" t="s">
        <v>13</v>
      </c>
      <c r="K69" s="3"/>
      <c r="L69" s="3"/>
      <c r="M69" s="3"/>
      <c r="N69" s="3"/>
      <c r="O69" s="9" t="s">
        <v>176</v>
      </c>
      <c r="P69" s="6" t="s">
        <v>34</v>
      </c>
      <c r="Q69" s="6" t="s">
        <v>34</v>
      </c>
      <c r="R69" s="6" t="s">
        <v>34</v>
      </c>
      <c r="S69" s="6" t="s">
        <v>34</v>
      </c>
      <c r="T69" s="6" t="s">
        <v>34</v>
      </c>
      <c r="U69" s="6" t="s">
        <v>34</v>
      </c>
      <c r="V69" s="6" t="s">
        <v>34</v>
      </c>
      <c r="W69" s="6" t="s">
        <v>34</v>
      </c>
      <c r="X69" s="6" t="s">
        <v>9</v>
      </c>
      <c r="Y69" s="30">
        <f t="shared" si="3"/>
        <v>1</v>
      </c>
      <c r="Z69" s="6" t="s">
        <v>9</v>
      </c>
      <c r="AA69" s="6" t="s">
        <v>9</v>
      </c>
      <c r="AB69" s="6" t="s">
        <v>9</v>
      </c>
      <c r="AC69" s="43" t="s">
        <v>9</v>
      </c>
      <c r="AE69" s="30">
        <f t="shared" si="4"/>
        <v>4</v>
      </c>
      <c r="AF69" s="6"/>
      <c r="AG69" s="6"/>
      <c r="AH69" s="6"/>
      <c r="AI69" s="6"/>
      <c r="AJ69" s="21"/>
      <c r="AK69" s="10"/>
    </row>
    <row r="70" spans="1:38" x14ac:dyDescent="0.25">
      <c r="A70" s="2" t="s">
        <v>105</v>
      </c>
      <c r="B70" s="21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6" t="s">
        <v>34</v>
      </c>
      <c r="Q70" s="6" t="s">
        <v>34</v>
      </c>
      <c r="R70" s="6" t="s">
        <v>34</v>
      </c>
      <c r="S70" s="6" t="s">
        <v>34</v>
      </c>
      <c r="T70" s="6" t="s">
        <v>34</v>
      </c>
      <c r="U70" s="6" t="s">
        <v>34</v>
      </c>
      <c r="V70" s="6" t="s">
        <v>34</v>
      </c>
      <c r="W70" s="6" t="s">
        <v>34</v>
      </c>
      <c r="X70" s="6" t="s">
        <v>34</v>
      </c>
      <c r="Y70" s="30">
        <f>COUNTIF(P70:X70,"P")</f>
        <v>0</v>
      </c>
      <c r="Z70" s="6" t="s">
        <v>34</v>
      </c>
      <c r="AA70" s="6" t="s">
        <v>34</v>
      </c>
      <c r="AB70" s="6" t="s">
        <v>9</v>
      </c>
      <c r="AC70" s="43" t="s">
        <v>9</v>
      </c>
      <c r="AE70" s="30">
        <f t="shared" si="4"/>
        <v>2</v>
      </c>
      <c r="AF70" s="6"/>
      <c r="AG70" s="6"/>
      <c r="AH70" s="6"/>
      <c r="AI70" s="6"/>
      <c r="AJ70" s="38" t="s">
        <v>17</v>
      </c>
      <c r="AL70" s="2" t="s">
        <v>32</v>
      </c>
    </row>
    <row r="71" spans="1:38" x14ac:dyDescent="0.25">
      <c r="A71" s="2" t="s">
        <v>106</v>
      </c>
      <c r="B71" s="21">
        <v>85987606529</v>
      </c>
      <c r="D71" s="27" t="s">
        <v>11</v>
      </c>
      <c r="E71" s="6" t="s">
        <v>167</v>
      </c>
      <c r="F71" s="7" t="s">
        <v>167</v>
      </c>
      <c r="G71" s="7" t="s">
        <v>167</v>
      </c>
      <c r="H71" s="7" t="s">
        <v>167</v>
      </c>
      <c r="I71" s="7" t="s">
        <v>167</v>
      </c>
      <c r="J71" s="7" t="s">
        <v>167</v>
      </c>
      <c r="K71" s="7" t="s">
        <v>187</v>
      </c>
      <c r="L71" s="7" t="s">
        <v>167</v>
      </c>
      <c r="M71" s="7" t="s">
        <v>167</v>
      </c>
      <c r="N71" s="7" t="s">
        <v>167</v>
      </c>
      <c r="O71" s="9" t="s">
        <v>175</v>
      </c>
      <c r="P71" s="6" t="s">
        <v>9</v>
      </c>
      <c r="Q71" s="6" t="s">
        <v>16</v>
      </c>
      <c r="R71" s="6" t="s">
        <v>16</v>
      </c>
      <c r="S71" s="6" t="s">
        <v>16</v>
      </c>
      <c r="T71" s="6" t="s">
        <v>16</v>
      </c>
      <c r="U71" s="6" t="s">
        <v>16</v>
      </c>
      <c r="V71" s="6" t="s">
        <v>16</v>
      </c>
      <c r="W71" s="6" t="s">
        <v>16</v>
      </c>
      <c r="X71" s="6" t="s">
        <v>16</v>
      </c>
      <c r="Y71" s="30">
        <f t="shared" ref="Y71:Y117" si="5">COUNTIF(P71:X71,"P")</f>
        <v>1</v>
      </c>
      <c r="Z71" s="6" t="s">
        <v>9</v>
      </c>
      <c r="AA71" s="6" t="s">
        <v>9</v>
      </c>
      <c r="AB71" s="6" t="s">
        <v>9</v>
      </c>
      <c r="AC71" s="43" t="s">
        <v>16</v>
      </c>
      <c r="AE71" s="30">
        <f t="shared" si="4"/>
        <v>3</v>
      </c>
      <c r="AF71" s="6"/>
      <c r="AG71" s="6"/>
      <c r="AH71" s="6"/>
      <c r="AI71" s="6"/>
      <c r="AJ71" s="21"/>
      <c r="AK71" s="14" t="s">
        <v>171</v>
      </c>
    </row>
    <row r="72" spans="1:38" x14ac:dyDescent="0.25">
      <c r="A72" s="2" t="s">
        <v>107</v>
      </c>
      <c r="B72" s="21">
        <v>85985372615</v>
      </c>
      <c r="E72" s="3"/>
      <c r="F72" s="3"/>
      <c r="G72" s="3"/>
      <c r="H72" s="3"/>
      <c r="I72" s="3"/>
      <c r="J72" s="3" t="s">
        <v>13</v>
      </c>
      <c r="K72" s="3"/>
      <c r="L72" s="3"/>
      <c r="M72" s="3"/>
      <c r="N72" s="3"/>
      <c r="O72" s="9" t="s">
        <v>176</v>
      </c>
      <c r="P72" s="6" t="s">
        <v>34</v>
      </c>
      <c r="Q72" s="6" t="s">
        <v>34</v>
      </c>
      <c r="R72" s="6" t="s">
        <v>34</v>
      </c>
      <c r="S72" s="6" t="s">
        <v>34</v>
      </c>
      <c r="T72" s="6" t="s">
        <v>34</v>
      </c>
      <c r="U72" s="6" t="s">
        <v>9</v>
      </c>
      <c r="V72" s="6" t="s">
        <v>9</v>
      </c>
      <c r="W72" s="6" t="s">
        <v>9</v>
      </c>
      <c r="X72" s="6" t="s">
        <v>9</v>
      </c>
      <c r="Y72" s="30">
        <f t="shared" si="5"/>
        <v>4</v>
      </c>
      <c r="Z72" s="6" t="s">
        <v>16</v>
      </c>
      <c r="AA72" s="6" t="s">
        <v>16</v>
      </c>
      <c r="AB72" s="6" t="s">
        <v>9</v>
      </c>
      <c r="AC72" s="43" t="s">
        <v>9</v>
      </c>
      <c r="AE72" s="30">
        <f t="shared" si="4"/>
        <v>2</v>
      </c>
      <c r="AF72" s="6"/>
      <c r="AG72" s="6"/>
      <c r="AH72" s="6"/>
      <c r="AI72" s="6"/>
      <c r="AJ72" s="38" t="s">
        <v>17</v>
      </c>
      <c r="AK72" s="15"/>
      <c r="AL72" s="2" t="s">
        <v>88</v>
      </c>
    </row>
    <row r="73" spans="1:38" x14ac:dyDescent="0.25">
      <c r="A73" s="2" t="s">
        <v>108</v>
      </c>
      <c r="B73" s="21">
        <v>85996591240</v>
      </c>
      <c r="C73" s="8" t="s">
        <v>28</v>
      </c>
      <c r="D73" s="25" t="s">
        <v>11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6" t="s">
        <v>34</v>
      </c>
      <c r="Q73" s="6" t="s">
        <v>34</v>
      </c>
      <c r="R73" s="6" t="s">
        <v>34</v>
      </c>
      <c r="S73" s="6" t="s">
        <v>34</v>
      </c>
      <c r="T73" s="6" t="s">
        <v>34</v>
      </c>
      <c r="U73" s="6" t="s">
        <v>34</v>
      </c>
      <c r="V73" s="6" t="s">
        <v>34</v>
      </c>
      <c r="W73" s="6" t="s">
        <v>34</v>
      </c>
      <c r="X73" s="6" t="s">
        <v>34</v>
      </c>
      <c r="Y73" s="30">
        <f t="shared" si="5"/>
        <v>0</v>
      </c>
      <c r="Z73" s="6" t="s">
        <v>34</v>
      </c>
      <c r="AA73" s="6" t="s">
        <v>34</v>
      </c>
      <c r="AB73" s="6" t="s">
        <v>9</v>
      </c>
      <c r="AC73" s="43" t="s">
        <v>16</v>
      </c>
      <c r="AE73" s="30">
        <f t="shared" si="4"/>
        <v>1</v>
      </c>
      <c r="AF73" s="6"/>
      <c r="AG73" s="6"/>
      <c r="AH73" s="6"/>
      <c r="AI73" s="6"/>
      <c r="AJ73" s="38" t="s">
        <v>17</v>
      </c>
      <c r="AL73" s="2" t="s">
        <v>32</v>
      </c>
    </row>
    <row r="74" spans="1:38" x14ac:dyDescent="0.25">
      <c r="A74" s="2" t="s">
        <v>109</v>
      </c>
      <c r="B74" s="21"/>
      <c r="E74" s="3"/>
      <c r="F74" s="3"/>
      <c r="G74" s="3"/>
      <c r="H74" s="3"/>
      <c r="I74" s="3"/>
      <c r="J74" s="3" t="s">
        <v>13</v>
      </c>
      <c r="K74" s="3"/>
      <c r="L74" s="3"/>
      <c r="M74" s="3"/>
      <c r="N74" s="3"/>
      <c r="O74" s="9" t="s">
        <v>176</v>
      </c>
      <c r="P74" s="6" t="s">
        <v>34</v>
      </c>
      <c r="Q74" s="6" t="s">
        <v>34</v>
      </c>
      <c r="R74" s="6" t="s">
        <v>34</v>
      </c>
      <c r="S74" s="6" t="s">
        <v>34</v>
      </c>
      <c r="T74" s="6" t="s">
        <v>34</v>
      </c>
      <c r="U74" s="6" t="s">
        <v>34</v>
      </c>
      <c r="V74" s="6" t="s">
        <v>34</v>
      </c>
      <c r="W74" s="6" t="s">
        <v>34</v>
      </c>
      <c r="X74" s="6" t="s">
        <v>9</v>
      </c>
      <c r="Y74" s="30">
        <f t="shared" si="5"/>
        <v>1</v>
      </c>
      <c r="Z74" s="6" t="s">
        <v>9</v>
      </c>
      <c r="AA74" s="6" t="s">
        <v>16</v>
      </c>
      <c r="AB74" s="6" t="s">
        <v>16</v>
      </c>
      <c r="AC74" s="43" t="s">
        <v>9</v>
      </c>
      <c r="AE74" s="30">
        <f t="shared" si="4"/>
        <v>2</v>
      </c>
      <c r="AF74" s="6"/>
      <c r="AG74" s="6"/>
      <c r="AH74" s="6"/>
      <c r="AI74" s="6"/>
      <c r="AJ74" s="39" t="s">
        <v>21</v>
      </c>
      <c r="AK74" s="10"/>
    </row>
    <row r="75" spans="1:38" x14ac:dyDescent="0.25">
      <c r="A75" s="2" t="s">
        <v>110</v>
      </c>
      <c r="B75" s="21">
        <v>85988150326</v>
      </c>
      <c r="D75" s="24" t="s">
        <v>20</v>
      </c>
      <c r="E75" s="6" t="s">
        <v>167</v>
      </c>
      <c r="F75" s="8" t="s">
        <v>168</v>
      </c>
      <c r="G75" s="8" t="s">
        <v>168</v>
      </c>
      <c r="H75" s="8" t="s">
        <v>168</v>
      </c>
      <c r="I75" s="8" t="s">
        <v>168</v>
      </c>
      <c r="J75" s="8" t="s">
        <v>168</v>
      </c>
      <c r="K75" s="8" t="s">
        <v>168</v>
      </c>
      <c r="L75" s="8" t="s">
        <v>168</v>
      </c>
      <c r="M75" s="8" t="s">
        <v>168</v>
      </c>
      <c r="N75" s="8" t="s">
        <v>168</v>
      </c>
      <c r="O75" s="9" t="s">
        <v>169</v>
      </c>
      <c r="P75" s="6" t="s">
        <v>16</v>
      </c>
      <c r="Q75" s="6" t="s">
        <v>16</v>
      </c>
      <c r="R75" s="6" t="s">
        <v>16</v>
      </c>
      <c r="S75" s="6" t="s">
        <v>16</v>
      </c>
      <c r="T75" s="6" t="s">
        <v>16</v>
      </c>
      <c r="U75" s="6" t="s">
        <v>16</v>
      </c>
      <c r="V75" s="6" t="s">
        <v>16</v>
      </c>
      <c r="W75" s="6" t="s">
        <v>9</v>
      </c>
      <c r="X75" s="6" t="s">
        <v>9</v>
      </c>
      <c r="Y75" s="30">
        <f t="shared" si="5"/>
        <v>2</v>
      </c>
      <c r="Z75" s="6" t="s">
        <v>9</v>
      </c>
      <c r="AA75" s="6" t="s">
        <v>9</v>
      </c>
      <c r="AB75" s="6" t="s">
        <v>9</v>
      </c>
      <c r="AC75" s="43" t="s">
        <v>9</v>
      </c>
      <c r="AE75" s="30">
        <f t="shared" si="4"/>
        <v>4</v>
      </c>
      <c r="AF75" s="6"/>
      <c r="AG75" s="6"/>
      <c r="AH75" s="6"/>
      <c r="AI75" s="6"/>
      <c r="AJ75" s="21"/>
      <c r="AK75" s="12" t="s">
        <v>173</v>
      </c>
    </row>
    <row r="76" spans="1:38" x14ac:dyDescent="0.25">
      <c r="A76" s="2" t="s">
        <v>111</v>
      </c>
      <c r="B76" s="21">
        <v>85994516590</v>
      </c>
      <c r="D76" s="24" t="s">
        <v>20</v>
      </c>
      <c r="E76" s="7" t="s">
        <v>167</v>
      </c>
      <c r="F76" s="7" t="s">
        <v>167</v>
      </c>
      <c r="G76" s="7" t="s">
        <v>167</v>
      </c>
      <c r="H76" s="8" t="s">
        <v>168</v>
      </c>
      <c r="I76" s="7" t="s">
        <v>167</v>
      </c>
      <c r="J76" s="8" t="s">
        <v>168</v>
      </c>
      <c r="K76" s="7" t="s">
        <v>167</v>
      </c>
      <c r="L76" s="7" t="s">
        <v>167</v>
      </c>
      <c r="M76" s="7" t="s">
        <v>167</v>
      </c>
      <c r="N76" s="7" t="s">
        <v>167</v>
      </c>
      <c r="O76" s="9" t="s">
        <v>169</v>
      </c>
      <c r="P76" s="6" t="s">
        <v>16</v>
      </c>
      <c r="Q76" s="6" t="s">
        <v>16</v>
      </c>
      <c r="R76" s="6" t="s">
        <v>16</v>
      </c>
      <c r="S76" s="6" t="s">
        <v>9</v>
      </c>
      <c r="T76" s="6" t="s">
        <v>9</v>
      </c>
      <c r="U76" s="6" t="s">
        <v>9</v>
      </c>
      <c r="V76" s="6" t="s">
        <v>16</v>
      </c>
      <c r="W76" s="6" t="s">
        <v>16</v>
      </c>
      <c r="X76" s="6" t="s">
        <v>16</v>
      </c>
      <c r="Y76" s="30">
        <f t="shared" si="5"/>
        <v>3</v>
      </c>
      <c r="Z76" s="6" t="s">
        <v>9</v>
      </c>
      <c r="AA76" s="6" t="s">
        <v>16</v>
      </c>
      <c r="AB76" s="6" t="s">
        <v>16</v>
      </c>
      <c r="AC76" s="43" t="s">
        <v>16</v>
      </c>
      <c r="AE76" s="30">
        <f t="shared" si="4"/>
        <v>1</v>
      </c>
      <c r="AF76" s="6"/>
      <c r="AG76" s="6"/>
      <c r="AH76" s="6"/>
      <c r="AI76" s="6"/>
      <c r="AJ76" s="39" t="s">
        <v>21</v>
      </c>
      <c r="AK76" s="12" t="s">
        <v>173</v>
      </c>
    </row>
    <row r="77" spans="1:38" x14ac:dyDescent="0.25">
      <c r="A77" s="2" t="s">
        <v>112</v>
      </c>
      <c r="B77" s="21">
        <v>85992651077</v>
      </c>
      <c r="D77" s="24" t="s">
        <v>20</v>
      </c>
      <c r="E77" s="6" t="s">
        <v>167</v>
      </c>
      <c r="F77" s="6" t="s">
        <v>168</v>
      </c>
      <c r="G77" s="6" t="s">
        <v>168</v>
      </c>
      <c r="H77" s="6" t="s">
        <v>168</v>
      </c>
      <c r="I77" s="6" t="s">
        <v>168</v>
      </c>
      <c r="J77" s="6" t="s">
        <v>168</v>
      </c>
      <c r="K77" s="6" t="s">
        <v>168</v>
      </c>
      <c r="L77" s="6" t="s">
        <v>168</v>
      </c>
      <c r="M77" s="6" t="s">
        <v>168</v>
      </c>
      <c r="N77" s="6" t="s">
        <v>168</v>
      </c>
      <c r="O77" s="6" t="s">
        <v>13</v>
      </c>
      <c r="P77" s="6" t="s">
        <v>16</v>
      </c>
      <c r="Q77" s="6" t="s">
        <v>16</v>
      </c>
      <c r="R77" s="6" t="s">
        <v>16</v>
      </c>
      <c r="S77" s="6" t="s">
        <v>16</v>
      </c>
      <c r="T77" s="6" t="s">
        <v>16</v>
      </c>
      <c r="U77" s="6" t="s">
        <v>16</v>
      </c>
      <c r="V77" s="6" t="s">
        <v>16</v>
      </c>
      <c r="W77" s="6" t="s">
        <v>16</v>
      </c>
      <c r="X77" s="6" t="s">
        <v>16</v>
      </c>
      <c r="Y77" s="30">
        <f t="shared" si="5"/>
        <v>0</v>
      </c>
      <c r="Z77" s="6" t="s">
        <v>16</v>
      </c>
      <c r="AA77" s="6" t="s">
        <v>16</v>
      </c>
      <c r="AB77" s="6" t="s">
        <v>9</v>
      </c>
      <c r="AC77" s="43" t="s">
        <v>9</v>
      </c>
      <c r="AE77" s="30">
        <f t="shared" si="4"/>
        <v>2</v>
      </c>
      <c r="AF77" s="6"/>
      <c r="AG77" s="6"/>
      <c r="AH77" s="6"/>
      <c r="AI77" s="6"/>
      <c r="AJ77" s="38" t="s">
        <v>17</v>
      </c>
      <c r="AK77" s="13" t="s">
        <v>188</v>
      </c>
      <c r="AL77" s="2" t="s">
        <v>18</v>
      </c>
    </row>
    <row r="78" spans="1:38" x14ac:dyDescent="0.25">
      <c r="A78" s="2" t="s">
        <v>113</v>
      </c>
      <c r="B78" s="21">
        <v>85988780579</v>
      </c>
      <c r="D78" s="24" t="s">
        <v>20</v>
      </c>
      <c r="E78" s="6" t="s">
        <v>167</v>
      </c>
      <c r="F78" s="6" t="s">
        <v>168</v>
      </c>
      <c r="G78" s="6" t="s">
        <v>168</v>
      </c>
      <c r="H78" s="6" t="s">
        <v>168</v>
      </c>
      <c r="I78" s="6" t="s">
        <v>168</v>
      </c>
      <c r="J78" s="6" t="s">
        <v>168</v>
      </c>
      <c r="K78" s="6" t="s">
        <v>168</v>
      </c>
      <c r="L78" s="6" t="s">
        <v>168</v>
      </c>
      <c r="M78" s="6" t="s">
        <v>168</v>
      </c>
      <c r="N78" s="6" t="s">
        <v>168</v>
      </c>
      <c r="O78" s="9" t="s">
        <v>169</v>
      </c>
      <c r="P78" s="6" t="s">
        <v>16</v>
      </c>
      <c r="Q78" s="6" t="s">
        <v>16</v>
      </c>
      <c r="R78" s="6" t="s">
        <v>16</v>
      </c>
      <c r="S78" s="6" t="s">
        <v>9</v>
      </c>
      <c r="T78" s="6" t="s">
        <v>9</v>
      </c>
      <c r="U78" s="6" t="s">
        <v>9</v>
      </c>
      <c r="V78" s="6" t="s">
        <v>16</v>
      </c>
      <c r="W78" s="6" t="s">
        <v>16</v>
      </c>
      <c r="X78" s="6" t="s">
        <v>9</v>
      </c>
      <c r="Y78" s="30">
        <f t="shared" si="5"/>
        <v>4</v>
      </c>
      <c r="Z78" s="6" t="s">
        <v>9</v>
      </c>
      <c r="AA78" s="6" t="s">
        <v>9</v>
      </c>
      <c r="AB78" s="6" t="s">
        <v>16</v>
      </c>
      <c r="AC78" s="43" t="s">
        <v>16</v>
      </c>
      <c r="AE78" s="30">
        <f t="shared" si="4"/>
        <v>2</v>
      </c>
      <c r="AF78" s="6"/>
      <c r="AG78" s="6"/>
      <c r="AH78" s="6"/>
      <c r="AI78" s="6"/>
      <c r="AJ78" s="21"/>
      <c r="AK78" s="14" t="s">
        <v>171</v>
      </c>
    </row>
    <row r="79" spans="1:38" x14ac:dyDescent="0.25">
      <c r="A79" s="2" t="s">
        <v>114</v>
      </c>
      <c r="B79" s="21">
        <v>85992502845</v>
      </c>
      <c r="D79" s="27" t="s">
        <v>11</v>
      </c>
      <c r="E79" s="6" t="s">
        <v>167</v>
      </c>
      <c r="F79" s="7" t="s">
        <v>167</v>
      </c>
      <c r="G79" s="8" t="s">
        <v>168</v>
      </c>
      <c r="H79" s="7" t="s">
        <v>167</v>
      </c>
      <c r="I79" s="7" t="s">
        <v>167</v>
      </c>
      <c r="J79" s="7" t="s">
        <v>167</v>
      </c>
      <c r="K79" s="7" t="s">
        <v>167</v>
      </c>
      <c r="L79" s="7" t="s">
        <v>167</v>
      </c>
      <c r="M79" s="7" t="s">
        <v>167</v>
      </c>
      <c r="N79" s="7" t="s">
        <v>167</v>
      </c>
      <c r="O79" s="9" t="s">
        <v>189</v>
      </c>
      <c r="P79" s="6" t="s">
        <v>9</v>
      </c>
      <c r="Q79" s="6" t="s">
        <v>16</v>
      </c>
      <c r="R79" s="6" t="s">
        <v>16</v>
      </c>
      <c r="S79" s="6" t="s">
        <v>16</v>
      </c>
      <c r="T79" s="6" t="s">
        <v>16</v>
      </c>
      <c r="U79" s="6" t="s">
        <v>16</v>
      </c>
      <c r="V79" s="6" t="s">
        <v>16</v>
      </c>
      <c r="W79" s="6" t="s">
        <v>16</v>
      </c>
      <c r="X79" s="6" t="s">
        <v>9</v>
      </c>
      <c r="Y79" s="30">
        <f t="shared" si="5"/>
        <v>2</v>
      </c>
      <c r="Z79" s="6" t="s">
        <v>16</v>
      </c>
      <c r="AA79" s="6" t="s">
        <v>16</v>
      </c>
      <c r="AB79" s="6" t="s">
        <v>9</v>
      </c>
      <c r="AC79" s="43" t="s">
        <v>16</v>
      </c>
      <c r="AE79" s="30">
        <f t="shared" si="4"/>
        <v>1</v>
      </c>
      <c r="AF79" s="6"/>
      <c r="AG79" s="6"/>
      <c r="AH79" s="6"/>
      <c r="AI79" s="6"/>
      <c r="AJ79" s="38" t="s">
        <v>17</v>
      </c>
      <c r="AK79" s="14" t="s">
        <v>190</v>
      </c>
      <c r="AL79" s="2" t="s">
        <v>18</v>
      </c>
    </row>
    <row r="80" spans="1:38" x14ac:dyDescent="0.25">
      <c r="A80" s="2" t="s">
        <v>115</v>
      </c>
      <c r="B80" s="21">
        <v>85999625676</v>
      </c>
      <c r="D80" s="24" t="s">
        <v>20</v>
      </c>
      <c r="E80" s="6" t="s">
        <v>167</v>
      </c>
      <c r="F80" s="7" t="s">
        <v>167</v>
      </c>
      <c r="G80" s="8" t="s">
        <v>168</v>
      </c>
      <c r="H80" s="7" t="s">
        <v>167</v>
      </c>
      <c r="I80" s="7" t="s">
        <v>167</v>
      </c>
      <c r="J80" s="7" t="s">
        <v>167</v>
      </c>
      <c r="K80" s="7" t="s">
        <v>167</v>
      </c>
      <c r="L80" s="7" t="s">
        <v>167</v>
      </c>
      <c r="M80" s="7" t="s">
        <v>167</v>
      </c>
      <c r="N80" s="7" t="s">
        <v>167</v>
      </c>
      <c r="O80" s="9" t="s">
        <v>169</v>
      </c>
      <c r="P80" s="6" t="s">
        <v>9</v>
      </c>
      <c r="Q80" s="6" t="s">
        <v>16</v>
      </c>
      <c r="R80" s="6" t="s">
        <v>16</v>
      </c>
      <c r="S80" s="6" t="s">
        <v>16</v>
      </c>
      <c r="T80" s="6" t="s">
        <v>16</v>
      </c>
      <c r="U80" s="6" t="s">
        <v>16</v>
      </c>
      <c r="V80" s="6" t="s">
        <v>16</v>
      </c>
      <c r="W80" s="6" t="s">
        <v>9</v>
      </c>
      <c r="X80" s="6" t="s">
        <v>9</v>
      </c>
      <c r="Y80" s="30">
        <f t="shared" si="5"/>
        <v>3</v>
      </c>
      <c r="Z80" s="6" t="s">
        <v>9</v>
      </c>
      <c r="AA80" s="6" t="s">
        <v>9</v>
      </c>
      <c r="AB80" s="6" t="s">
        <v>16</v>
      </c>
      <c r="AC80" s="43" t="s">
        <v>16</v>
      </c>
      <c r="AE80" s="30">
        <f t="shared" si="4"/>
        <v>2</v>
      </c>
      <c r="AF80" s="6"/>
      <c r="AG80" s="6"/>
      <c r="AH80" s="6"/>
      <c r="AI80" s="6"/>
      <c r="AJ80" s="21"/>
      <c r="AK80" s="12" t="s">
        <v>191</v>
      </c>
    </row>
    <row r="81" spans="1:38" x14ac:dyDescent="0.25">
      <c r="A81" s="2" t="s">
        <v>116</v>
      </c>
      <c r="B81" s="21"/>
      <c r="D81" s="24" t="s">
        <v>20</v>
      </c>
      <c r="E81" s="6" t="s">
        <v>167</v>
      </c>
      <c r="F81" s="6" t="s">
        <v>168</v>
      </c>
      <c r="G81" s="6" t="s">
        <v>168</v>
      </c>
      <c r="H81" s="6" t="s">
        <v>168</v>
      </c>
      <c r="I81" s="6" t="s">
        <v>168</v>
      </c>
      <c r="J81" s="6" t="s">
        <v>168</v>
      </c>
      <c r="K81" s="6" t="s">
        <v>168</v>
      </c>
      <c r="L81" s="6" t="s">
        <v>168</v>
      </c>
      <c r="M81" s="6" t="s">
        <v>168</v>
      </c>
      <c r="N81" s="6" t="s">
        <v>168</v>
      </c>
      <c r="O81" s="9" t="s">
        <v>169</v>
      </c>
      <c r="P81" s="6" t="s">
        <v>16</v>
      </c>
      <c r="Q81" s="6" t="s">
        <v>16</v>
      </c>
      <c r="R81" s="6" t="s">
        <v>16</v>
      </c>
      <c r="S81" s="6" t="s">
        <v>16</v>
      </c>
      <c r="T81" s="6" t="s">
        <v>16</v>
      </c>
      <c r="U81" s="6" t="s">
        <v>9</v>
      </c>
      <c r="V81" s="6" t="s">
        <v>9</v>
      </c>
      <c r="W81" s="6" t="s">
        <v>9</v>
      </c>
      <c r="X81" s="6" t="s">
        <v>9</v>
      </c>
      <c r="Y81" s="30">
        <f t="shared" si="5"/>
        <v>4</v>
      </c>
      <c r="Z81" s="6" t="s">
        <v>16</v>
      </c>
      <c r="AA81" s="6" t="s">
        <v>9</v>
      </c>
      <c r="AB81" s="6" t="s">
        <v>16</v>
      </c>
      <c r="AC81" s="43" t="s">
        <v>9</v>
      </c>
      <c r="AE81" s="30">
        <f t="shared" si="4"/>
        <v>2</v>
      </c>
      <c r="AF81" s="6"/>
      <c r="AG81" s="6"/>
      <c r="AH81" s="6"/>
      <c r="AI81" s="6"/>
      <c r="AJ81" s="21"/>
      <c r="AK81" s="13" t="s">
        <v>191</v>
      </c>
    </row>
    <row r="82" spans="1:38" x14ac:dyDescent="0.25">
      <c r="A82" s="2" t="s">
        <v>117</v>
      </c>
      <c r="B82" s="21">
        <v>85987913466</v>
      </c>
      <c r="D82" s="24" t="s">
        <v>20</v>
      </c>
      <c r="E82" s="6" t="s">
        <v>167</v>
      </c>
      <c r="F82" s="7" t="s">
        <v>167</v>
      </c>
      <c r="G82" s="8" t="s">
        <v>168</v>
      </c>
      <c r="H82" s="7" t="s">
        <v>167</v>
      </c>
      <c r="I82" s="7" t="s">
        <v>167</v>
      </c>
      <c r="J82" s="7" t="s">
        <v>167</v>
      </c>
      <c r="K82" s="7" t="s">
        <v>167</v>
      </c>
      <c r="L82" s="7" t="s">
        <v>167</v>
      </c>
      <c r="M82" s="7" t="s">
        <v>167</v>
      </c>
      <c r="N82" s="7" t="s">
        <v>167</v>
      </c>
      <c r="O82" s="9" t="s">
        <v>175</v>
      </c>
      <c r="P82" s="6" t="s">
        <v>9</v>
      </c>
      <c r="Q82" s="6" t="s">
        <v>16</v>
      </c>
      <c r="R82" s="6" t="s">
        <v>16</v>
      </c>
      <c r="S82" s="6" t="s">
        <v>16</v>
      </c>
      <c r="T82" s="6" t="s">
        <v>16</v>
      </c>
      <c r="U82" s="6" t="s">
        <v>16</v>
      </c>
      <c r="V82" s="6" t="s">
        <v>16</v>
      </c>
      <c r="W82" s="6" t="s">
        <v>16</v>
      </c>
      <c r="X82" s="6" t="s">
        <v>16</v>
      </c>
      <c r="Y82" s="30">
        <f t="shared" si="5"/>
        <v>1</v>
      </c>
      <c r="Z82" s="6" t="s">
        <v>9</v>
      </c>
      <c r="AA82" s="6" t="s">
        <v>16</v>
      </c>
      <c r="AB82" s="6" t="s">
        <v>16</v>
      </c>
      <c r="AC82" s="43" t="s">
        <v>16</v>
      </c>
      <c r="AE82" s="30">
        <f t="shared" si="4"/>
        <v>1</v>
      </c>
      <c r="AF82" s="6"/>
      <c r="AG82" s="6"/>
      <c r="AH82" s="6"/>
      <c r="AI82" s="6"/>
      <c r="AJ82" s="39" t="s">
        <v>21</v>
      </c>
      <c r="AK82" s="12" t="s">
        <v>192</v>
      </c>
    </row>
    <row r="83" spans="1:38" x14ac:dyDescent="0.25">
      <c r="A83" s="2" t="s">
        <v>118</v>
      </c>
      <c r="B83" s="21">
        <v>85992991581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6" t="s">
        <v>34</v>
      </c>
      <c r="Q83" s="6" t="s">
        <v>34</v>
      </c>
      <c r="R83" s="6" t="s">
        <v>34</v>
      </c>
      <c r="S83" s="6" t="s">
        <v>34</v>
      </c>
      <c r="T83" s="6" t="s">
        <v>34</v>
      </c>
      <c r="U83" s="6" t="s">
        <v>34</v>
      </c>
      <c r="V83" s="6" t="s">
        <v>34</v>
      </c>
      <c r="W83" s="6" t="s">
        <v>34</v>
      </c>
      <c r="X83" s="6" t="s">
        <v>34</v>
      </c>
      <c r="Y83" s="30">
        <f t="shared" si="5"/>
        <v>0</v>
      </c>
      <c r="Z83" s="6" t="s">
        <v>9</v>
      </c>
      <c r="AA83" s="6" t="s">
        <v>16</v>
      </c>
      <c r="AB83" s="6" t="s">
        <v>9</v>
      </c>
      <c r="AC83" s="43" t="s">
        <v>9</v>
      </c>
      <c r="AE83" s="30">
        <f t="shared" si="4"/>
        <v>3</v>
      </c>
      <c r="AF83" s="6"/>
      <c r="AG83" s="6"/>
      <c r="AH83" s="6"/>
      <c r="AI83" s="6"/>
      <c r="AJ83" s="39" t="s">
        <v>21</v>
      </c>
    </row>
    <row r="84" spans="1:38" x14ac:dyDescent="0.25">
      <c r="A84" s="2" t="s">
        <v>119</v>
      </c>
      <c r="B84" s="21">
        <v>85992443123</v>
      </c>
      <c r="E84" s="3"/>
      <c r="F84" s="3"/>
      <c r="G84" s="3"/>
      <c r="H84" s="3"/>
      <c r="I84" s="3"/>
      <c r="J84" s="3" t="s">
        <v>13</v>
      </c>
      <c r="K84" s="3"/>
      <c r="L84" s="3"/>
      <c r="M84" s="3"/>
      <c r="N84" s="3"/>
      <c r="O84" s="9" t="s">
        <v>176</v>
      </c>
      <c r="P84" s="6" t="s">
        <v>34</v>
      </c>
      <c r="Q84" s="6" t="s">
        <v>34</v>
      </c>
      <c r="R84" s="6" t="s">
        <v>34</v>
      </c>
      <c r="S84" s="6" t="s">
        <v>34</v>
      </c>
      <c r="T84" s="6" t="s">
        <v>34</v>
      </c>
      <c r="U84" s="6" t="s">
        <v>34</v>
      </c>
      <c r="V84" s="6" t="s">
        <v>34</v>
      </c>
      <c r="W84" s="6" t="s">
        <v>9</v>
      </c>
      <c r="X84" s="6" t="s">
        <v>34</v>
      </c>
      <c r="Y84" s="30">
        <f t="shared" si="5"/>
        <v>1</v>
      </c>
      <c r="Z84" s="6" t="s">
        <v>9</v>
      </c>
      <c r="AA84" s="6" t="s">
        <v>9</v>
      </c>
      <c r="AB84" s="6" t="s">
        <v>16</v>
      </c>
      <c r="AC84" s="43" t="s">
        <v>16</v>
      </c>
      <c r="AE84" s="30">
        <f t="shared" si="4"/>
        <v>2</v>
      </c>
      <c r="AF84" s="6"/>
      <c r="AG84" s="6"/>
      <c r="AH84" s="6"/>
      <c r="AI84" s="6"/>
      <c r="AJ84" s="21"/>
      <c r="AK84" s="13"/>
    </row>
    <row r="85" spans="1:38" x14ac:dyDescent="0.25">
      <c r="A85" s="2" t="s">
        <v>120</v>
      </c>
      <c r="B85" s="21">
        <v>85991152038</v>
      </c>
      <c r="D85" s="24" t="s">
        <v>20</v>
      </c>
      <c r="E85" s="6" t="s">
        <v>167</v>
      </c>
      <c r="F85" s="6" t="s">
        <v>168</v>
      </c>
      <c r="G85" s="6" t="s">
        <v>168</v>
      </c>
      <c r="H85" s="6" t="s">
        <v>168</v>
      </c>
      <c r="I85" s="6" t="s">
        <v>168</v>
      </c>
      <c r="J85" s="6" t="s">
        <v>168</v>
      </c>
      <c r="K85" s="6" t="s">
        <v>168</v>
      </c>
      <c r="L85" s="6" t="s">
        <v>168</v>
      </c>
      <c r="M85" s="6" t="s">
        <v>168</v>
      </c>
      <c r="N85" s="6" t="s">
        <v>168</v>
      </c>
      <c r="O85" s="6" t="s">
        <v>13</v>
      </c>
      <c r="P85" s="6" t="s">
        <v>16</v>
      </c>
      <c r="Q85" s="6" t="s">
        <v>16</v>
      </c>
      <c r="R85" s="6" t="s">
        <v>16</v>
      </c>
      <c r="S85" s="6" t="s">
        <v>16</v>
      </c>
      <c r="T85" s="6" t="s">
        <v>16</v>
      </c>
      <c r="U85" s="6" t="s">
        <v>16</v>
      </c>
      <c r="V85" s="6" t="s">
        <v>16</v>
      </c>
      <c r="W85" s="6" t="s">
        <v>16</v>
      </c>
      <c r="X85" s="6" t="s">
        <v>16</v>
      </c>
      <c r="Y85" s="30">
        <f t="shared" si="5"/>
        <v>0</v>
      </c>
      <c r="Z85" s="6" t="s">
        <v>16</v>
      </c>
      <c r="AA85" s="6" t="s">
        <v>16</v>
      </c>
      <c r="AB85" s="6" t="s">
        <v>9</v>
      </c>
      <c r="AC85" s="43" t="s">
        <v>9</v>
      </c>
      <c r="AE85" s="30">
        <f t="shared" si="4"/>
        <v>2</v>
      </c>
      <c r="AF85" s="6"/>
      <c r="AG85" s="6"/>
      <c r="AH85" s="6"/>
      <c r="AI85" s="6"/>
      <c r="AJ85" s="38" t="s">
        <v>17</v>
      </c>
      <c r="AK85" s="15" t="s">
        <v>193</v>
      </c>
      <c r="AL85" s="2" t="s">
        <v>121</v>
      </c>
    </row>
    <row r="86" spans="1:38" x14ac:dyDescent="0.25">
      <c r="A86" s="2" t="s">
        <v>194</v>
      </c>
      <c r="B86" s="2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 t="s">
        <v>34</v>
      </c>
      <c r="Q86" s="6" t="s">
        <v>34</v>
      </c>
      <c r="R86" s="6" t="s">
        <v>34</v>
      </c>
      <c r="S86" s="6" t="s">
        <v>34</v>
      </c>
      <c r="T86" s="6" t="s">
        <v>34</v>
      </c>
      <c r="U86" s="6" t="s">
        <v>34</v>
      </c>
      <c r="V86" s="6" t="s">
        <v>34</v>
      </c>
      <c r="W86" s="6" t="s">
        <v>34</v>
      </c>
      <c r="X86" s="6" t="s">
        <v>34</v>
      </c>
      <c r="Y86" s="30">
        <f t="shared" si="5"/>
        <v>0</v>
      </c>
      <c r="Z86" s="6" t="s">
        <v>34</v>
      </c>
      <c r="AA86" s="6" t="s">
        <v>34</v>
      </c>
      <c r="AB86" s="6" t="s">
        <v>34</v>
      </c>
      <c r="AC86" s="43" t="s">
        <v>9</v>
      </c>
      <c r="AE86" s="30">
        <f t="shared" si="4"/>
        <v>1</v>
      </c>
      <c r="AF86" s="6"/>
      <c r="AG86" s="6"/>
      <c r="AH86" s="6"/>
      <c r="AI86" s="6"/>
      <c r="AJ86" s="38"/>
      <c r="AK86" s="15"/>
    </row>
    <row r="87" spans="1:38" x14ac:dyDescent="0.25">
      <c r="A87" s="2" t="s">
        <v>122</v>
      </c>
      <c r="B87" s="21">
        <v>85992809861</v>
      </c>
      <c r="C87" s="8" t="s">
        <v>28</v>
      </c>
      <c r="D87" s="25" t="s">
        <v>11</v>
      </c>
      <c r="E87" s="6" t="s">
        <v>167</v>
      </c>
      <c r="F87" s="7" t="s">
        <v>167</v>
      </c>
      <c r="G87" s="7" t="s">
        <v>167</v>
      </c>
      <c r="H87" s="7" t="s">
        <v>167</v>
      </c>
      <c r="I87" s="7" t="s">
        <v>167</v>
      </c>
      <c r="J87" s="7" t="s">
        <v>167</v>
      </c>
      <c r="K87" s="7" t="s">
        <v>167</v>
      </c>
      <c r="L87" s="7" t="s">
        <v>167</v>
      </c>
      <c r="M87" s="7" t="s">
        <v>167</v>
      </c>
      <c r="N87" s="7" t="s">
        <v>167</v>
      </c>
      <c r="O87" s="9" t="s">
        <v>169</v>
      </c>
      <c r="P87" s="6" t="s">
        <v>9</v>
      </c>
      <c r="Q87" s="6" t="s">
        <v>16</v>
      </c>
      <c r="R87" s="6" t="s">
        <v>16</v>
      </c>
      <c r="S87" s="6" t="s">
        <v>16</v>
      </c>
      <c r="T87" s="6" t="s">
        <v>16</v>
      </c>
      <c r="U87" s="6" t="s">
        <v>9</v>
      </c>
      <c r="V87" s="6" t="s">
        <v>9</v>
      </c>
      <c r="W87" s="6" t="s">
        <v>9</v>
      </c>
      <c r="X87" s="6" t="s">
        <v>16</v>
      </c>
      <c r="Y87" s="30">
        <f t="shared" si="5"/>
        <v>4</v>
      </c>
      <c r="Z87" s="6" t="s">
        <v>9</v>
      </c>
      <c r="AA87" s="6" t="s">
        <v>9</v>
      </c>
      <c r="AB87" s="6" t="s">
        <v>9</v>
      </c>
      <c r="AC87" s="43" t="s">
        <v>16</v>
      </c>
      <c r="AE87" s="30">
        <f t="shared" si="4"/>
        <v>3</v>
      </c>
      <c r="AF87" s="6"/>
      <c r="AG87" s="6"/>
      <c r="AH87" s="6"/>
      <c r="AI87" s="6"/>
      <c r="AJ87" s="21"/>
      <c r="AK87" s="14" t="s">
        <v>171</v>
      </c>
    </row>
    <row r="88" spans="1:38" x14ac:dyDescent="0.25">
      <c r="A88" s="2" t="s">
        <v>195</v>
      </c>
      <c r="B88" s="21"/>
      <c r="C88" s="21"/>
      <c r="D88" s="21"/>
      <c r="E88" s="6"/>
      <c r="F88" s="7"/>
      <c r="G88" s="7"/>
      <c r="H88" s="7"/>
      <c r="I88" s="7"/>
      <c r="J88" s="7"/>
      <c r="K88" s="7"/>
      <c r="L88" s="7"/>
      <c r="M88" s="7"/>
      <c r="N88" s="7"/>
      <c r="O88" s="9"/>
      <c r="P88" s="6" t="s">
        <v>34</v>
      </c>
      <c r="Q88" s="6" t="s">
        <v>34</v>
      </c>
      <c r="R88" s="6" t="s">
        <v>34</v>
      </c>
      <c r="S88" s="6" t="s">
        <v>34</v>
      </c>
      <c r="T88" s="6" t="s">
        <v>34</v>
      </c>
      <c r="U88" s="6" t="s">
        <v>34</v>
      </c>
      <c r="V88" s="6" t="s">
        <v>34</v>
      </c>
      <c r="W88" s="6" t="s">
        <v>34</v>
      </c>
      <c r="X88" s="6" t="s">
        <v>34</v>
      </c>
      <c r="Y88" s="30">
        <f t="shared" si="5"/>
        <v>0</v>
      </c>
      <c r="Z88" s="6" t="s">
        <v>34</v>
      </c>
      <c r="AA88" s="6" t="s">
        <v>34</v>
      </c>
      <c r="AB88" s="6" t="s">
        <v>34</v>
      </c>
      <c r="AC88" s="43" t="s">
        <v>9</v>
      </c>
      <c r="AE88" s="30"/>
      <c r="AF88" s="6"/>
      <c r="AG88" s="6"/>
      <c r="AH88" s="6"/>
      <c r="AI88" s="6"/>
      <c r="AJ88" s="21"/>
      <c r="AK88" s="14"/>
    </row>
    <row r="89" spans="1:38" x14ac:dyDescent="0.25">
      <c r="A89" s="2" t="s">
        <v>123</v>
      </c>
      <c r="B89" s="21">
        <v>85999248124</v>
      </c>
      <c r="D89" s="24" t="s">
        <v>13</v>
      </c>
      <c r="E89" s="6" t="s">
        <v>167</v>
      </c>
      <c r="F89" s="6" t="s">
        <v>168</v>
      </c>
      <c r="G89" s="6" t="s">
        <v>168</v>
      </c>
      <c r="H89" s="6" t="s">
        <v>168</v>
      </c>
      <c r="I89" s="6" t="s">
        <v>168</v>
      </c>
      <c r="J89" s="6" t="s">
        <v>168</v>
      </c>
      <c r="K89" s="6" t="s">
        <v>168</v>
      </c>
      <c r="L89" s="6" t="s">
        <v>168</v>
      </c>
      <c r="M89" s="6" t="s">
        <v>168</v>
      </c>
      <c r="N89" s="6" t="s">
        <v>168</v>
      </c>
      <c r="O89" s="9" t="s">
        <v>169</v>
      </c>
      <c r="P89" s="6" t="s">
        <v>16</v>
      </c>
      <c r="Q89" s="6" t="s">
        <v>16</v>
      </c>
      <c r="R89" s="6" t="s">
        <v>16</v>
      </c>
      <c r="S89" s="6" t="s">
        <v>16</v>
      </c>
      <c r="T89" s="6" t="s">
        <v>16</v>
      </c>
      <c r="U89" s="6" t="s">
        <v>9</v>
      </c>
      <c r="V89" s="6" t="s">
        <v>9</v>
      </c>
      <c r="W89" s="6" t="s">
        <v>9</v>
      </c>
      <c r="X89" s="6" t="s">
        <v>9</v>
      </c>
      <c r="Y89" s="30">
        <f t="shared" si="5"/>
        <v>4</v>
      </c>
      <c r="Z89" s="6" t="s">
        <v>9</v>
      </c>
      <c r="AA89" s="6" t="s">
        <v>9</v>
      </c>
      <c r="AB89" s="6" t="s">
        <v>16</v>
      </c>
      <c r="AC89" s="43" t="s">
        <v>9</v>
      </c>
      <c r="AE89" s="30">
        <f t="shared" ref="AE89:AE99" si="6">COUNTIF(Z89:AD89,"P")</f>
        <v>3</v>
      </c>
      <c r="AF89" s="6"/>
      <c r="AG89" s="6"/>
      <c r="AH89" s="6"/>
      <c r="AI89" s="6"/>
      <c r="AJ89" s="21"/>
      <c r="AK89" s="11" t="s">
        <v>196</v>
      </c>
    </row>
    <row r="90" spans="1:38" x14ac:dyDescent="0.25">
      <c r="A90" s="2" t="s">
        <v>124</v>
      </c>
      <c r="B90" s="21">
        <v>85987977559</v>
      </c>
      <c r="D90" s="24" t="s">
        <v>20</v>
      </c>
      <c r="E90" s="6" t="s">
        <v>168</v>
      </c>
      <c r="F90" s="7" t="s">
        <v>167</v>
      </c>
      <c r="G90" s="8" t="s">
        <v>168</v>
      </c>
      <c r="H90" s="7" t="s">
        <v>167</v>
      </c>
      <c r="I90" s="7" t="s">
        <v>167</v>
      </c>
      <c r="J90" s="7" t="s">
        <v>167</v>
      </c>
      <c r="K90" s="7" t="s">
        <v>167</v>
      </c>
      <c r="L90" s="7" t="s">
        <v>167</v>
      </c>
      <c r="M90" s="7" t="s">
        <v>167</v>
      </c>
      <c r="N90" s="7" t="s">
        <v>167</v>
      </c>
      <c r="O90" s="9" t="s">
        <v>175</v>
      </c>
      <c r="P90" s="6" t="s">
        <v>9</v>
      </c>
      <c r="Q90" s="6" t="s">
        <v>16</v>
      </c>
      <c r="R90" s="6" t="s">
        <v>16</v>
      </c>
      <c r="S90" s="6" t="s">
        <v>16</v>
      </c>
      <c r="T90" s="6" t="s">
        <v>16</v>
      </c>
      <c r="U90" s="6" t="s">
        <v>16</v>
      </c>
      <c r="V90" s="6" t="s">
        <v>16</v>
      </c>
      <c r="W90" s="6" t="s">
        <v>16</v>
      </c>
      <c r="X90" s="6" t="s">
        <v>16</v>
      </c>
      <c r="Y90" s="30">
        <f t="shared" si="5"/>
        <v>1</v>
      </c>
      <c r="Z90" s="6" t="s">
        <v>9</v>
      </c>
      <c r="AA90" s="6" t="s">
        <v>16</v>
      </c>
      <c r="AB90" s="6" t="s">
        <v>16</v>
      </c>
      <c r="AC90" s="43" t="s">
        <v>16</v>
      </c>
      <c r="AE90" s="30">
        <f t="shared" si="6"/>
        <v>1</v>
      </c>
      <c r="AF90" s="6"/>
      <c r="AG90" s="6"/>
      <c r="AH90" s="6"/>
      <c r="AI90" s="6"/>
      <c r="AJ90" s="39" t="s">
        <v>21</v>
      </c>
      <c r="AK90" s="13" t="s">
        <v>197</v>
      </c>
    </row>
    <row r="91" spans="1:38" x14ac:dyDescent="0.25">
      <c r="A91" s="2" t="s">
        <v>125</v>
      </c>
      <c r="B91" s="21">
        <v>85992530725</v>
      </c>
      <c r="E91" s="3"/>
      <c r="F91" s="3"/>
      <c r="G91" s="3"/>
      <c r="H91" s="3"/>
      <c r="I91" s="3"/>
      <c r="J91" s="3" t="s">
        <v>13</v>
      </c>
      <c r="K91" s="3"/>
      <c r="L91" s="3"/>
      <c r="M91" s="3"/>
      <c r="N91" s="3"/>
      <c r="O91" s="9" t="s">
        <v>176</v>
      </c>
      <c r="P91" s="6" t="s">
        <v>34</v>
      </c>
      <c r="Q91" s="6" t="s">
        <v>34</v>
      </c>
      <c r="R91" s="6" t="s">
        <v>34</v>
      </c>
      <c r="S91" s="6" t="s">
        <v>34</v>
      </c>
      <c r="T91" s="6" t="s">
        <v>34</v>
      </c>
      <c r="U91" s="6" t="s">
        <v>34</v>
      </c>
      <c r="V91" s="6" t="s">
        <v>34</v>
      </c>
      <c r="W91" s="6" t="s">
        <v>9</v>
      </c>
      <c r="X91" s="6" t="s">
        <v>9</v>
      </c>
      <c r="Y91" s="30">
        <f t="shared" si="5"/>
        <v>2</v>
      </c>
      <c r="Z91" s="6" t="s">
        <v>16</v>
      </c>
      <c r="AA91" s="6" t="s">
        <v>9</v>
      </c>
      <c r="AB91" s="6" t="s">
        <v>9</v>
      </c>
      <c r="AC91" s="43" t="s">
        <v>9</v>
      </c>
      <c r="AE91" s="30">
        <f t="shared" si="6"/>
        <v>3</v>
      </c>
      <c r="AF91" s="6"/>
      <c r="AG91" s="6"/>
      <c r="AH91" s="6"/>
      <c r="AI91" s="6"/>
      <c r="AJ91" s="21"/>
      <c r="AK91" s="11"/>
    </row>
    <row r="92" spans="1:38" x14ac:dyDescent="0.25">
      <c r="A92" s="2" t="s">
        <v>126</v>
      </c>
      <c r="B92" s="21">
        <v>85988546147</v>
      </c>
      <c r="D92" s="24" t="s">
        <v>20</v>
      </c>
      <c r="E92" s="6" t="s">
        <v>167</v>
      </c>
      <c r="F92" s="7" t="s">
        <v>167</v>
      </c>
      <c r="G92" s="8" t="s">
        <v>168</v>
      </c>
      <c r="H92" s="7" t="s">
        <v>167</v>
      </c>
      <c r="I92" s="7" t="s">
        <v>167</v>
      </c>
      <c r="J92" s="7" t="s">
        <v>167</v>
      </c>
      <c r="K92" s="7" t="s">
        <v>167</v>
      </c>
      <c r="L92" s="7" t="s">
        <v>167</v>
      </c>
      <c r="M92" s="7" t="s">
        <v>167</v>
      </c>
      <c r="N92" s="7" t="s">
        <v>167</v>
      </c>
      <c r="O92" s="9" t="s">
        <v>175</v>
      </c>
      <c r="P92" s="6" t="s">
        <v>9</v>
      </c>
      <c r="Q92" s="6" t="s">
        <v>16</v>
      </c>
      <c r="R92" s="6" t="s">
        <v>16</v>
      </c>
      <c r="S92" s="6" t="s">
        <v>16</v>
      </c>
      <c r="T92" s="6" t="s">
        <v>16</v>
      </c>
      <c r="U92" s="6" t="s">
        <v>16</v>
      </c>
      <c r="V92" s="6" t="s">
        <v>16</v>
      </c>
      <c r="W92" s="6" t="s">
        <v>16</v>
      </c>
      <c r="X92" s="6" t="s">
        <v>16</v>
      </c>
      <c r="Y92" s="30">
        <f t="shared" si="5"/>
        <v>1</v>
      </c>
      <c r="Z92" s="6" t="s">
        <v>9</v>
      </c>
      <c r="AA92" s="6" t="s">
        <v>16</v>
      </c>
      <c r="AB92" s="6" t="s">
        <v>16</v>
      </c>
      <c r="AC92" s="43" t="s">
        <v>16</v>
      </c>
      <c r="AE92" s="30">
        <f t="shared" si="6"/>
        <v>1</v>
      </c>
      <c r="AF92" s="6"/>
      <c r="AG92" s="6"/>
      <c r="AH92" s="6"/>
      <c r="AI92" s="6"/>
      <c r="AJ92" s="39" t="s">
        <v>21</v>
      </c>
      <c r="AK92" s="13" t="s">
        <v>198</v>
      </c>
    </row>
    <row r="93" spans="1:38" x14ac:dyDescent="0.25">
      <c r="A93" s="2" t="s">
        <v>127</v>
      </c>
      <c r="B93" s="21">
        <v>85992376029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" t="s">
        <v>34</v>
      </c>
      <c r="Q93" s="6" t="s">
        <v>34</v>
      </c>
      <c r="R93" s="6" t="s">
        <v>34</v>
      </c>
      <c r="S93" s="6" t="s">
        <v>34</v>
      </c>
      <c r="T93" s="6" t="s">
        <v>34</v>
      </c>
      <c r="U93" s="6" t="s">
        <v>34</v>
      </c>
      <c r="V93" s="6" t="s">
        <v>34</v>
      </c>
      <c r="W93" s="6" t="s">
        <v>34</v>
      </c>
      <c r="X93" s="6" t="s">
        <v>34</v>
      </c>
      <c r="Y93" s="30">
        <f t="shared" si="5"/>
        <v>0</v>
      </c>
      <c r="Z93" s="6" t="s">
        <v>9</v>
      </c>
      <c r="AA93" s="6" t="s">
        <v>16</v>
      </c>
      <c r="AB93" s="6" t="s">
        <v>9</v>
      </c>
      <c r="AC93" s="43" t="s">
        <v>9</v>
      </c>
      <c r="AE93" s="30">
        <f t="shared" si="6"/>
        <v>3</v>
      </c>
      <c r="AF93" s="6"/>
      <c r="AG93" s="6"/>
      <c r="AH93" s="6"/>
      <c r="AI93" s="6"/>
      <c r="AJ93" s="39" t="s">
        <v>21</v>
      </c>
    </row>
    <row r="94" spans="1:38" x14ac:dyDescent="0.25">
      <c r="A94" s="2" t="s">
        <v>128</v>
      </c>
      <c r="B94" s="21"/>
      <c r="O94" s="9" t="s">
        <v>176</v>
      </c>
      <c r="P94" s="6" t="s">
        <v>34</v>
      </c>
      <c r="Q94" s="6" t="s">
        <v>34</v>
      </c>
      <c r="R94" s="6" t="s">
        <v>34</v>
      </c>
      <c r="S94" s="6" t="s">
        <v>34</v>
      </c>
      <c r="T94" s="6" t="s">
        <v>34</v>
      </c>
      <c r="U94" s="6" t="s">
        <v>34</v>
      </c>
      <c r="V94" s="6" t="s">
        <v>34</v>
      </c>
      <c r="W94" s="6" t="s">
        <v>34</v>
      </c>
      <c r="X94" s="6" t="s">
        <v>34</v>
      </c>
      <c r="Y94" s="30">
        <f t="shared" si="5"/>
        <v>0</v>
      </c>
      <c r="Z94" s="6" t="s">
        <v>34</v>
      </c>
      <c r="AA94" s="6" t="s">
        <v>34</v>
      </c>
      <c r="AB94" s="6" t="s">
        <v>16</v>
      </c>
      <c r="AC94" s="43" t="s">
        <v>16</v>
      </c>
      <c r="AE94" s="30">
        <f t="shared" si="6"/>
        <v>0</v>
      </c>
      <c r="AF94" s="6"/>
      <c r="AG94" s="6"/>
      <c r="AH94" s="6"/>
      <c r="AI94" s="6"/>
    </row>
    <row r="95" spans="1:38" x14ac:dyDescent="0.25">
      <c r="A95" s="2" t="s">
        <v>129</v>
      </c>
      <c r="B95" s="21">
        <v>85992195726</v>
      </c>
      <c r="D95" s="24" t="s">
        <v>13</v>
      </c>
      <c r="E95" s="6" t="s">
        <v>167</v>
      </c>
      <c r="F95" s="7" t="s">
        <v>167</v>
      </c>
      <c r="G95" s="7" t="s">
        <v>167</v>
      </c>
      <c r="H95" s="7" t="s">
        <v>167</v>
      </c>
      <c r="I95" s="7" t="s">
        <v>167</v>
      </c>
      <c r="J95" s="7" t="s">
        <v>167</v>
      </c>
      <c r="K95" s="7" t="s">
        <v>167</v>
      </c>
      <c r="L95" s="7" t="s">
        <v>167</v>
      </c>
      <c r="M95" s="7" t="s">
        <v>167</v>
      </c>
      <c r="N95" s="7" t="s">
        <v>167</v>
      </c>
      <c r="O95" s="9" t="s">
        <v>169</v>
      </c>
      <c r="P95" s="6" t="s">
        <v>9</v>
      </c>
      <c r="Q95" s="6" t="s">
        <v>16</v>
      </c>
      <c r="R95" s="6" t="s">
        <v>16</v>
      </c>
      <c r="S95" s="6" t="s">
        <v>16</v>
      </c>
      <c r="T95" s="6" t="s">
        <v>16</v>
      </c>
      <c r="U95" s="6" t="s">
        <v>9</v>
      </c>
      <c r="V95" s="6" t="s">
        <v>9</v>
      </c>
      <c r="W95" s="6" t="s">
        <v>9</v>
      </c>
      <c r="X95" s="6" t="s">
        <v>9</v>
      </c>
      <c r="Y95" s="30">
        <f t="shared" si="5"/>
        <v>5</v>
      </c>
      <c r="Z95" s="6" t="s">
        <v>9</v>
      </c>
      <c r="AA95" s="6" t="s">
        <v>9</v>
      </c>
      <c r="AB95" s="6" t="s">
        <v>9</v>
      </c>
      <c r="AC95" s="43" t="s">
        <v>9</v>
      </c>
      <c r="AE95" s="30">
        <f t="shared" si="6"/>
        <v>4</v>
      </c>
      <c r="AF95" s="6"/>
      <c r="AG95" s="6"/>
      <c r="AH95" s="6"/>
      <c r="AI95" s="6"/>
      <c r="AJ95" s="21"/>
      <c r="AK95" s="14" t="s">
        <v>171</v>
      </c>
    </row>
    <row r="96" spans="1:38" x14ac:dyDescent="0.25">
      <c r="A96" s="2" t="s">
        <v>130</v>
      </c>
      <c r="B96" s="21">
        <v>85987952726</v>
      </c>
      <c r="O96" s="9" t="s">
        <v>176</v>
      </c>
      <c r="P96" s="6" t="s">
        <v>34</v>
      </c>
      <c r="Q96" s="6" t="s">
        <v>34</v>
      </c>
      <c r="R96" s="6" t="s">
        <v>34</v>
      </c>
      <c r="S96" s="6" t="s">
        <v>34</v>
      </c>
      <c r="T96" s="6" t="s">
        <v>34</v>
      </c>
      <c r="U96" s="6" t="s">
        <v>34</v>
      </c>
      <c r="V96" s="6" t="s">
        <v>34</v>
      </c>
      <c r="W96" s="6" t="s">
        <v>34</v>
      </c>
      <c r="X96" s="6" t="s">
        <v>34</v>
      </c>
      <c r="Y96" s="30">
        <f t="shared" si="5"/>
        <v>0</v>
      </c>
      <c r="Z96" s="6" t="s">
        <v>34</v>
      </c>
      <c r="AA96" s="6" t="s">
        <v>34</v>
      </c>
      <c r="AB96" s="6" t="s">
        <v>9</v>
      </c>
      <c r="AC96" s="43" t="s">
        <v>9</v>
      </c>
      <c r="AE96" s="30">
        <f t="shared" si="6"/>
        <v>2</v>
      </c>
      <c r="AF96" s="6"/>
      <c r="AG96" s="6"/>
      <c r="AH96" s="6"/>
      <c r="AI96" s="6"/>
    </row>
    <row r="97" spans="1:38" x14ac:dyDescent="0.25">
      <c r="A97" s="2" t="s">
        <v>131</v>
      </c>
      <c r="B97" s="21"/>
      <c r="D97" s="24" t="s">
        <v>20</v>
      </c>
      <c r="E97" s="6" t="s">
        <v>167</v>
      </c>
      <c r="F97" s="6" t="s">
        <v>168</v>
      </c>
      <c r="G97" s="6" t="s">
        <v>168</v>
      </c>
      <c r="H97" s="6" t="s">
        <v>168</v>
      </c>
      <c r="I97" s="6" t="s">
        <v>168</v>
      </c>
      <c r="J97" s="6" t="s">
        <v>168</v>
      </c>
      <c r="K97" s="6" t="s">
        <v>168</v>
      </c>
      <c r="L97" s="6" t="s">
        <v>168</v>
      </c>
      <c r="M97" s="6" t="s">
        <v>168</v>
      </c>
      <c r="N97" s="6" t="s">
        <v>168</v>
      </c>
      <c r="O97" s="9" t="s">
        <v>189</v>
      </c>
      <c r="P97" s="6" t="s">
        <v>16</v>
      </c>
      <c r="Q97" s="6" t="s">
        <v>16</v>
      </c>
      <c r="R97" s="6" t="s">
        <v>16</v>
      </c>
      <c r="S97" s="6" t="s">
        <v>16</v>
      </c>
      <c r="T97" s="6" t="s">
        <v>16</v>
      </c>
      <c r="U97" s="6" t="s">
        <v>16</v>
      </c>
      <c r="V97" s="6" t="s">
        <v>16</v>
      </c>
      <c r="W97" s="6" t="s">
        <v>16</v>
      </c>
      <c r="X97" s="6" t="s">
        <v>9</v>
      </c>
      <c r="Y97" s="30">
        <f t="shared" si="5"/>
        <v>1</v>
      </c>
      <c r="Z97" s="6" t="s">
        <v>16</v>
      </c>
      <c r="AA97" s="6" t="s">
        <v>9</v>
      </c>
      <c r="AB97" s="6" t="s">
        <v>9</v>
      </c>
      <c r="AC97" s="43" t="s">
        <v>9</v>
      </c>
      <c r="AE97" s="30">
        <f t="shared" si="6"/>
        <v>3</v>
      </c>
      <c r="AF97" s="6"/>
      <c r="AG97" s="6"/>
      <c r="AH97" s="6"/>
      <c r="AI97" s="6"/>
      <c r="AJ97" s="21"/>
      <c r="AK97" s="13" t="s">
        <v>191</v>
      </c>
    </row>
    <row r="98" spans="1:38" x14ac:dyDescent="0.25">
      <c r="A98" s="2" t="s">
        <v>132</v>
      </c>
      <c r="B98" s="21">
        <v>85992459844</v>
      </c>
      <c r="D98" s="27" t="s">
        <v>11</v>
      </c>
      <c r="E98" s="6" t="s">
        <v>167</v>
      </c>
      <c r="F98" s="7" t="s">
        <v>167</v>
      </c>
      <c r="G98" s="7" t="s">
        <v>167</v>
      </c>
      <c r="H98" s="7" t="s">
        <v>167</v>
      </c>
      <c r="I98" s="7" t="s">
        <v>167</v>
      </c>
      <c r="J98" s="7" t="s">
        <v>167</v>
      </c>
      <c r="K98" s="7" t="s">
        <v>186</v>
      </c>
      <c r="L98" s="7" t="s">
        <v>167</v>
      </c>
      <c r="M98" s="7" t="s">
        <v>167</v>
      </c>
      <c r="N98" s="7" t="s">
        <v>167</v>
      </c>
      <c r="O98" s="9" t="s">
        <v>169</v>
      </c>
      <c r="P98" s="6" t="s">
        <v>9</v>
      </c>
      <c r="Q98" s="6" t="s">
        <v>9</v>
      </c>
      <c r="R98" s="6" t="s">
        <v>9</v>
      </c>
      <c r="S98" s="6" t="s">
        <v>9</v>
      </c>
      <c r="T98" s="6" t="s">
        <v>9</v>
      </c>
      <c r="U98" s="6" t="s">
        <v>9</v>
      </c>
      <c r="V98" s="6" t="s">
        <v>16</v>
      </c>
      <c r="W98" s="6" t="s">
        <v>16</v>
      </c>
      <c r="X98" s="6" t="s">
        <v>9</v>
      </c>
      <c r="Y98" s="30">
        <f t="shared" si="5"/>
        <v>7</v>
      </c>
      <c r="Z98" s="6" t="s">
        <v>9</v>
      </c>
      <c r="AA98" s="6" t="s">
        <v>9</v>
      </c>
      <c r="AB98" s="6" t="s">
        <v>16</v>
      </c>
      <c r="AC98" s="43" t="s">
        <v>9</v>
      </c>
      <c r="AE98" s="30">
        <f t="shared" si="6"/>
        <v>3</v>
      </c>
      <c r="AF98" s="6"/>
      <c r="AG98" s="6"/>
      <c r="AH98" s="6"/>
      <c r="AI98" s="6"/>
      <c r="AJ98" s="21"/>
      <c r="AK98" s="14" t="s">
        <v>170</v>
      </c>
    </row>
    <row r="99" spans="1:38" x14ac:dyDescent="0.25">
      <c r="A99" s="2" t="s">
        <v>133</v>
      </c>
      <c r="B99" s="21"/>
      <c r="D99" s="24" t="s">
        <v>13</v>
      </c>
      <c r="E99" s="6" t="s">
        <v>167</v>
      </c>
      <c r="F99" s="6" t="s">
        <v>168</v>
      </c>
      <c r="G99" s="6" t="s">
        <v>168</v>
      </c>
      <c r="H99" s="6" t="s">
        <v>168</v>
      </c>
      <c r="I99" s="6" t="s">
        <v>168</v>
      </c>
      <c r="J99" s="6" t="s">
        <v>168</v>
      </c>
      <c r="K99" s="6" t="s">
        <v>168</v>
      </c>
      <c r="L99" s="6" t="s">
        <v>168</v>
      </c>
      <c r="M99" s="6" t="s">
        <v>168</v>
      </c>
      <c r="N99" s="6" t="s">
        <v>168</v>
      </c>
      <c r="O99" s="6" t="s">
        <v>13</v>
      </c>
      <c r="P99" s="6" t="s">
        <v>34</v>
      </c>
      <c r="Q99" s="6" t="s">
        <v>34</v>
      </c>
      <c r="R99" s="6" t="s">
        <v>34</v>
      </c>
      <c r="S99" s="6" t="s">
        <v>34</v>
      </c>
      <c r="T99" s="6" t="s">
        <v>34</v>
      </c>
      <c r="U99" s="6" t="s">
        <v>34</v>
      </c>
      <c r="V99" s="6" t="s">
        <v>34</v>
      </c>
      <c r="W99" s="6" t="s">
        <v>34</v>
      </c>
      <c r="X99" s="6" t="s">
        <v>34</v>
      </c>
      <c r="Y99" s="30">
        <f t="shared" si="5"/>
        <v>0</v>
      </c>
      <c r="Z99" s="6" t="s">
        <v>34</v>
      </c>
      <c r="AA99" s="6" t="s">
        <v>34</v>
      </c>
      <c r="AB99" s="6" t="s">
        <v>16</v>
      </c>
      <c r="AC99" s="6" t="s">
        <v>16</v>
      </c>
      <c r="AE99" s="30">
        <f t="shared" si="6"/>
        <v>0</v>
      </c>
      <c r="AF99" s="6"/>
      <c r="AG99" s="6"/>
      <c r="AH99" s="6"/>
      <c r="AI99" s="6"/>
      <c r="AJ99" s="38" t="s">
        <v>17</v>
      </c>
      <c r="AK99" s="15" t="s">
        <v>199</v>
      </c>
      <c r="AL99" s="2" t="s">
        <v>32</v>
      </c>
    </row>
    <row r="100" spans="1:38" x14ac:dyDescent="0.25">
      <c r="A100" s="2" t="s">
        <v>200</v>
      </c>
      <c r="B100" s="2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 t="s">
        <v>34</v>
      </c>
      <c r="Q100" s="6" t="s">
        <v>34</v>
      </c>
      <c r="R100" s="6" t="s">
        <v>34</v>
      </c>
      <c r="S100" s="6" t="s">
        <v>34</v>
      </c>
      <c r="T100" s="6" t="s">
        <v>34</v>
      </c>
      <c r="U100" s="6" t="s">
        <v>34</v>
      </c>
      <c r="V100" s="6" t="s">
        <v>34</v>
      </c>
      <c r="W100" s="6" t="s">
        <v>34</v>
      </c>
      <c r="X100" s="6" t="s">
        <v>34</v>
      </c>
      <c r="Y100" s="30">
        <f t="shared" si="5"/>
        <v>0</v>
      </c>
      <c r="Z100" s="6" t="s">
        <v>34</v>
      </c>
      <c r="AA100" s="6" t="s">
        <v>34</v>
      </c>
      <c r="AB100" s="6" t="s">
        <v>9</v>
      </c>
      <c r="AC100" s="43" t="s">
        <v>16</v>
      </c>
      <c r="AE100" s="30"/>
      <c r="AF100" s="6"/>
      <c r="AG100" s="6"/>
      <c r="AH100" s="6"/>
      <c r="AI100" s="6"/>
      <c r="AJ100" s="38"/>
      <c r="AK100" s="15"/>
    </row>
    <row r="101" spans="1:38" x14ac:dyDescent="0.25">
      <c r="A101" s="2" t="s">
        <v>134</v>
      </c>
      <c r="B101" s="21">
        <v>85992436222</v>
      </c>
      <c r="C101" s="8" t="s">
        <v>28</v>
      </c>
      <c r="D101" s="25" t="s">
        <v>11</v>
      </c>
      <c r="E101" s="6" t="s">
        <v>167</v>
      </c>
      <c r="F101" s="7" t="s">
        <v>167</v>
      </c>
      <c r="G101" s="7" t="s">
        <v>167</v>
      </c>
      <c r="H101" s="7" t="s">
        <v>167</v>
      </c>
      <c r="I101" s="7" t="s">
        <v>167</v>
      </c>
      <c r="J101" s="7" t="s">
        <v>167</v>
      </c>
      <c r="K101" s="7" t="s">
        <v>167</v>
      </c>
      <c r="L101" s="7" t="s">
        <v>167</v>
      </c>
      <c r="M101" s="7" t="s">
        <v>167</v>
      </c>
      <c r="N101" s="7" t="s">
        <v>167</v>
      </c>
      <c r="O101" s="9" t="s">
        <v>169</v>
      </c>
      <c r="P101" s="6" t="s">
        <v>9</v>
      </c>
      <c r="Q101" s="6" t="s">
        <v>9</v>
      </c>
      <c r="R101" s="6" t="s">
        <v>9</v>
      </c>
      <c r="S101" s="6" t="s">
        <v>9</v>
      </c>
      <c r="T101" s="6" t="s">
        <v>9</v>
      </c>
      <c r="U101" s="6" t="s">
        <v>9</v>
      </c>
      <c r="V101" s="6" t="s">
        <v>9</v>
      </c>
      <c r="W101" s="6" t="s">
        <v>9</v>
      </c>
      <c r="X101" s="6" t="s">
        <v>9</v>
      </c>
      <c r="Y101" s="30">
        <f t="shared" si="5"/>
        <v>9</v>
      </c>
      <c r="Z101" s="6" t="s">
        <v>9</v>
      </c>
      <c r="AA101" s="6" t="s">
        <v>9</v>
      </c>
      <c r="AB101" s="6" t="s">
        <v>9</v>
      </c>
      <c r="AC101" s="43" t="s">
        <v>34</v>
      </c>
      <c r="AE101" s="30">
        <f t="shared" ref="AE101:AE106" si="7">COUNTIF(Z101:AD101,"P")</f>
        <v>3</v>
      </c>
      <c r="AF101" s="6"/>
      <c r="AG101" s="6"/>
      <c r="AH101" s="6"/>
      <c r="AI101" s="6"/>
      <c r="AJ101" s="21"/>
      <c r="AK101" s="14" t="s">
        <v>170</v>
      </c>
    </row>
    <row r="102" spans="1:38" x14ac:dyDescent="0.25">
      <c r="A102" s="2" t="s">
        <v>135</v>
      </c>
      <c r="B102" s="21">
        <v>85997400964</v>
      </c>
      <c r="D102" s="24" t="s">
        <v>20</v>
      </c>
      <c r="E102" s="6" t="s">
        <v>167</v>
      </c>
      <c r="F102" s="7" t="s">
        <v>167</v>
      </c>
      <c r="G102" s="7" t="s">
        <v>167</v>
      </c>
      <c r="H102" s="7" t="s">
        <v>167</v>
      </c>
      <c r="I102" s="7" t="s">
        <v>167</v>
      </c>
      <c r="J102" s="7" t="s">
        <v>167</v>
      </c>
      <c r="K102" s="7" t="s">
        <v>167</v>
      </c>
      <c r="L102" s="7" t="s">
        <v>167</v>
      </c>
      <c r="M102" s="7" t="s">
        <v>167</v>
      </c>
      <c r="N102" s="7" t="s">
        <v>167</v>
      </c>
      <c r="O102" s="9" t="s">
        <v>169</v>
      </c>
      <c r="P102" s="6" t="s">
        <v>9</v>
      </c>
      <c r="Q102" s="6" t="s">
        <v>9</v>
      </c>
      <c r="R102" s="6" t="s">
        <v>9</v>
      </c>
      <c r="S102" s="6" t="s">
        <v>9</v>
      </c>
      <c r="T102" s="6" t="s">
        <v>9</v>
      </c>
      <c r="U102" s="6" t="s">
        <v>9</v>
      </c>
      <c r="V102" s="6" t="s">
        <v>9</v>
      </c>
      <c r="W102" s="6" t="s">
        <v>9</v>
      </c>
      <c r="X102" s="6" t="s">
        <v>9</v>
      </c>
      <c r="Y102" s="30">
        <f t="shared" si="5"/>
        <v>9</v>
      </c>
      <c r="Z102" s="6" t="s">
        <v>9</v>
      </c>
      <c r="AA102" s="6" t="s">
        <v>9</v>
      </c>
      <c r="AB102" s="6" t="s">
        <v>9</v>
      </c>
      <c r="AC102" s="43" t="s">
        <v>9</v>
      </c>
      <c r="AE102" s="30">
        <f t="shared" si="7"/>
        <v>4</v>
      </c>
      <c r="AF102" s="6"/>
      <c r="AG102" s="6"/>
      <c r="AH102" s="6"/>
      <c r="AI102" s="6"/>
      <c r="AJ102" s="21"/>
      <c r="AK102" s="14" t="s">
        <v>201</v>
      </c>
    </row>
    <row r="103" spans="1:38" x14ac:dyDescent="0.25">
      <c r="A103" s="2" t="s">
        <v>136</v>
      </c>
      <c r="B103" s="21"/>
      <c r="E103" s="3"/>
      <c r="F103" s="3"/>
      <c r="G103" s="3"/>
      <c r="H103" s="3"/>
      <c r="I103" s="3"/>
      <c r="J103" s="3" t="s">
        <v>13</v>
      </c>
      <c r="K103" s="3"/>
      <c r="L103" s="3"/>
      <c r="M103" s="3"/>
      <c r="N103" s="3"/>
      <c r="O103" s="9" t="s">
        <v>176</v>
      </c>
      <c r="P103" s="6" t="s">
        <v>34</v>
      </c>
      <c r="Q103" s="6" t="s">
        <v>34</v>
      </c>
      <c r="R103" s="6" t="s">
        <v>34</v>
      </c>
      <c r="S103" s="6" t="s">
        <v>34</v>
      </c>
      <c r="T103" s="6" t="s">
        <v>34</v>
      </c>
      <c r="U103" s="6" t="s">
        <v>34</v>
      </c>
      <c r="V103" s="6" t="s">
        <v>34</v>
      </c>
      <c r="W103" s="6" t="s">
        <v>34</v>
      </c>
      <c r="X103" s="6" t="s">
        <v>34</v>
      </c>
      <c r="Y103" s="30">
        <f t="shared" si="5"/>
        <v>0</v>
      </c>
      <c r="Z103" s="6" t="s">
        <v>16</v>
      </c>
      <c r="AA103" s="6" t="s">
        <v>16</v>
      </c>
      <c r="AB103" s="6" t="s">
        <v>16</v>
      </c>
      <c r="AC103" s="43" t="s">
        <v>16</v>
      </c>
      <c r="AE103" s="30">
        <f t="shared" si="7"/>
        <v>0</v>
      </c>
      <c r="AF103" s="6"/>
      <c r="AG103" s="6"/>
      <c r="AH103" s="6"/>
      <c r="AI103" s="6"/>
      <c r="AJ103" s="38" t="s">
        <v>17</v>
      </c>
      <c r="AK103" s="10"/>
      <c r="AL103" s="2" t="s">
        <v>32</v>
      </c>
    </row>
    <row r="104" spans="1:38" x14ac:dyDescent="0.25">
      <c r="A104" s="2" t="s">
        <v>137</v>
      </c>
      <c r="B104" s="21">
        <v>85992107868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" t="s">
        <v>34</v>
      </c>
      <c r="Q104" s="6" t="s">
        <v>34</v>
      </c>
      <c r="R104" s="6" t="s">
        <v>34</v>
      </c>
      <c r="S104" s="6" t="s">
        <v>34</v>
      </c>
      <c r="T104" s="6" t="s">
        <v>34</v>
      </c>
      <c r="U104" s="6" t="s">
        <v>34</v>
      </c>
      <c r="V104" s="6" t="s">
        <v>34</v>
      </c>
      <c r="W104" s="6" t="s">
        <v>34</v>
      </c>
      <c r="X104" s="6" t="s">
        <v>34</v>
      </c>
      <c r="Y104" s="30">
        <f t="shared" si="5"/>
        <v>0</v>
      </c>
      <c r="Z104" s="6" t="s">
        <v>9</v>
      </c>
      <c r="AA104" s="6" t="s">
        <v>9</v>
      </c>
      <c r="AB104" s="6" t="s">
        <v>9</v>
      </c>
      <c r="AC104" s="43" t="s">
        <v>9</v>
      </c>
      <c r="AE104" s="30">
        <f t="shared" si="7"/>
        <v>4</v>
      </c>
      <c r="AF104" s="6"/>
      <c r="AG104" s="6"/>
      <c r="AH104" s="6"/>
      <c r="AI104" s="6"/>
      <c r="AJ104" s="21"/>
    </row>
    <row r="105" spans="1:38" x14ac:dyDescent="0.25">
      <c r="A105" s="2" t="s">
        <v>138</v>
      </c>
      <c r="B105" s="21">
        <v>85988714047</v>
      </c>
      <c r="C105" s="8" t="s">
        <v>28</v>
      </c>
      <c r="D105" s="25" t="s">
        <v>11</v>
      </c>
      <c r="E105" s="6" t="s">
        <v>167</v>
      </c>
      <c r="F105" s="7" t="s">
        <v>167</v>
      </c>
      <c r="G105" s="7" t="s">
        <v>167</v>
      </c>
      <c r="H105" s="8" t="s">
        <v>168</v>
      </c>
      <c r="I105" s="7" t="s">
        <v>167</v>
      </c>
      <c r="J105" s="8" t="s">
        <v>168</v>
      </c>
      <c r="K105" s="7" t="s">
        <v>167</v>
      </c>
      <c r="L105" s="7" t="s">
        <v>167</v>
      </c>
      <c r="M105" s="7" t="s">
        <v>167</v>
      </c>
      <c r="N105" s="7" t="s">
        <v>167</v>
      </c>
      <c r="O105" s="9" t="s">
        <v>169</v>
      </c>
      <c r="P105" s="6" t="s">
        <v>16</v>
      </c>
      <c r="Q105" s="6" t="s">
        <v>16</v>
      </c>
      <c r="R105" s="6" t="s">
        <v>16</v>
      </c>
      <c r="S105" s="6" t="s">
        <v>16</v>
      </c>
      <c r="T105" s="6" t="s">
        <v>16</v>
      </c>
      <c r="U105" s="6" t="s">
        <v>9</v>
      </c>
      <c r="V105" s="6" t="s">
        <v>9</v>
      </c>
      <c r="W105" s="6" t="s">
        <v>9</v>
      </c>
      <c r="X105" s="6" t="s">
        <v>16</v>
      </c>
      <c r="Y105" s="30">
        <f t="shared" si="5"/>
        <v>3</v>
      </c>
      <c r="Z105" s="6" t="s">
        <v>9</v>
      </c>
      <c r="AA105" s="6" t="s">
        <v>9</v>
      </c>
      <c r="AB105" s="6" t="s">
        <v>9</v>
      </c>
      <c r="AC105" s="43" t="s">
        <v>16</v>
      </c>
      <c r="AE105" s="30">
        <f t="shared" si="7"/>
        <v>3</v>
      </c>
      <c r="AF105" s="6"/>
      <c r="AG105" s="6"/>
      <c r="AH105" s="6"/>
      <c r="AI105" s="6"/>
      <c r="AJ105" s="21"/>
      <c r="AK105" s="12" t="s">
        <v>173</v>
      </c>
    </row>
    <row r="106" spans="1:38" x14ac:dyDescent="0.25">
      <c r="A106" s="2" t="s">
        <v>139</v>
      </c>
      <c r="B106" s="21">
        <v>85999382647</v>
      </c>
      <c r="D106" s="24" t="s">
        <v>13</v>
      </c>
      <c r="E106" s="6" t="s">
        <v>167</v>
      </c>
      <c r="F106" s="7" t="s">
        <v>167</v>
      </c>
      <c r="G106" s="7" t="s">
        <v>167</v>
      </c>
      <c r="H106" s="7" t="s">
        <v>167</v>
      </c>
      <c r="I106" s="7" t="s">
        <v>167</v>
      </c>
      <c r="J106" s="7" t="s">
        <v>167</v>
      </c>
      <c r="K106" s="7" t="s">
        <v>167</v>
      </c>
      <c r="L106" s="7" t="s">
        <v>167</v>
      </c>
      <c r="M106" s="7" t="s">
        <v>167</v>
      </c>
      <c r="N106" s="7" t="s">
        <v>167</v>
      </c>
      <c r="O106" s="9" t="s">
        <v>169</v>
      </c>
      <c r="P106" s="6" t="s">
        <v>9</v>
      </c>
      <c r="Q106" s="6" t="s">
        <v>9</v>
      </c>
      <c r="R106" s="6" t="s">
        <v>9</v>
      </c>
      <c r="S106" s="6" t="s">
        <v>9</v>
      </c>
      <c r="T106" s="6" t="s">
        <v>9</v>
      </c>
      <c r="U106" s="6" t="s">
        <v>9</v>
      </c>
      <c r="V106" s="6" t="s">
        <v>9</v>
      </c>
      <c r="W106" s="6" t="s">
        <v>9</v>
      </c>
      <c r="X106" s="6" t="s">
        <v>9</v>
      </c>
      <c r="Y106" s="30">
        <f t="shared" si="5"/>
        <v>9</v>
      </c>
      <c r="Z106" s="6" t="s">
        <v>9</v>
      </c>
      <c r="AA106" s="6" t="s">
        <v>9</v>
      </c>
      <c r="AB106" s="6" t="s">
        <v>9</v>
      </c>
      <c r="AC106" s="43" t="s">
        <v>9</v>
      </c>
      <c r="AE106" s="30">
        <f t="shared" si="7"/>
        <v>4</v>
      </c>
      <c r="AF106" s="6"/>
      <c r="AG106" s="6"/>
      <c r="AH106" s="6"/>
      <c r="AI106" s="6"/>
      <c r="AJ106" s="21"/>
      <c r="AK106" s="12" t="s">
        <v>173</v>
      </c>
    </row>
    <row r="107" spans="1:38" x14ac:dyDescent="0.25">
      <c r="A107" s="2" t="s">
        <v>202</v>
      </c>
      <c r="B107" s="21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9"/>
      <c r="P107" s="6" t="s">
        <v>34</v>
      </c>
      <c r="Q107" s="6" t="s">
        <v>34</v>
      </c>
      <c r="R107" s="6" t="s">
        <v>34</v>
      </c>
      <c r="S107" s="6" t="s">
        <v>34</v>
      </c>
      <c r="T107" s="6" t="s">
        <v>34</v>
      </c>
      <c r="U107" s="6" t="s">
        <v>34</v>
      </c>
      <c r="V107" s="6" t="s">
        <v>34</v>
      </c>
      <c r="W107" s="6" t="s">
        <v>34</v>
      </c>
      <c r="X107" s="6" t="s">
        <v>34</v>
      </c>
      <c r="Y107" s="30">
        <f t="shared" si="5"/>
        <v>0</v>
      </c>
      <c r="Z107" s="6" t="s">
        <v>34</v>
      </c>
      <c r="AA107" s="6" t="s">
        <v>34</v>
      </c>
      <c r="AB107" s="6" t="s">
        <v>34</v>
      </c>
      <c r="AC107" s="43" t="s">
        <v>9</v>
      </c>
      <c r="AE107" s="30"/>
      <c r="AF107" s="6"/>
      <c r="AG107" s="6"/>
      <c r="AH107" s="6"/>
      <c r="AI107" s="6"/>
      <c r="AJ107" s="21"/>
      <c r="AK107" s="12"/>
    </row>
    <row r="108" spans="1:38" x14ac:dyDescent="0.25">
      <c r="A108" s="2" t="s">
        <v>140</v>
      </c>
      <c r="B108" s="21">
        <v>85994265274</v>
      </c>
      <c r="O108" s="9" t="s">
        <v>176</v>
      </c>
      <c r="P108" s="6" t="s">
        <v>34</v>
      </c>
      <c r="Q108" s="6" t="s">
        <v>34</v>
      </c>
      <c r="R108" s="6" t="s">
        <v>34</v>
      </c>
      <c r="S108" s="6" t="s">
        <v>34</v>
      </c>
      <c r="T108" s="6" t="s">
        <v>34</v>
      </c>
      <c r="U108" s="6" t="s">
        <v>34</v>
      </c>
      <c r="V108" s="6" t="s">
        <v>34</v>
      </c>
      <c r="W108" s="6" t="s">
        <v>34</v>
      </c>
      <c r="X108" s="6" t="s">
        <v>34</v>
      </c>
      <c r="Y108" s="30">
        <f t="shared" si="5"/>
        <v>0</v>
      </c>
      <c r="Z108" s="6" t="s">
        <v>34</v>
      </c>
      <c r="AA108" s="6" t="s">
        <v>34</v>
      </c>
      <c r="AB108" s="6" t="s">
        <v>9</v>
      </c>
      <c r="AC108" s="43" t="s">
        <v>9</v>
      </c>
      <c r="AE108" s="30">
        <f t="shared" ref="AE108:AE118" si="8">COUNTIF(Z108:AD108,"P")</f>
        <v>2</v>
      </c>
      <c r="AF108" s="6"/>
      <c r="AG108" s="6"/>
      <c r="AH108" s="6"/>
      <c r="AI108" s="6"/>
    </row>
    <row r="109" spans="1:38" x14ac:dyDescent="0.25">
      <c r="A109" s="2" t="s">
        <v>141</v>
      </c>
      <c r="B109" s="21"/>
      <c r="E109" s="3"/>
      <c r="F109" s="3"/>
      <c r="G109" s="3"/>
      <c r="H109" s="3"/>
      <c r="I109" s="3"/>
      <c r="J109" s="3" t="s">
        <v>13</v>
      </c>
      <c r="K109" s="3"/>
      <c r="L109" s="3"/>
      <c r="M109" s="3"/>
      <c r="N109" s="3"/>
      <c r="O109" s="9" t="s">
        <v>176</v>
      </c>
      <c r="P109" s="6" t="s">
        <v>34</v>
      </c>
      <c r="Q109" s="6" t="s">
        <v>34</v>
      </c>
      <c r="R109" s="6" t="s">
        <v>34</v>
      </c>
      <c r="S109" s="6" t="s">
        <v>34</v>
      </c>
      <c r="T109" s="6" t="s">
        <v>34</v>
      </c>
      <c r="U109" s="6" t="s">
        <v>34</v>
      </c>
      <c r="V109" s="6" t="s">
        <v>34</v>
      </c>
      <c r="W109" s="6" t="s">
        <v>9</v>
      </c>
      <c r="X109" s="6" t="s">
        <v>9</v>
      </c>
      <c r="Y109" s="30">
        <f t="shared" si="5"/>
        <v>2</v>
      </c>
      <c r="Z109" s="6" t="s">
        <v>9</v>
      </c>
      <c r="AA109" s="6" t="s">
        <v>9</v>
      </c>
      <c r="AB109" s="6" t="s">
        <v>9</v>
      </c>
      <c r="AC109" s="43" t="s">
        <v>9</v>
      </c>
      <c r="AE109" s="30">
        <f t="shared" si="8"/>
        <v>4</v>
      </c>
      <c r="AF109" s="6"/>
      <c r="AG109" s="6"/>
      <c r="AH109" s="6"/>
      <c r="AI109" s="6"/>
      <c r="AJ109" s="21"/>
      <c r="AK109" s="10"/>
    </row>
    <row r="110" spans="1:38" x14ac:dyDescent="0.25">
      <c r="A110" s="2" t="s">
        <v>142</v>
      </c>
      <c r="B110" s="21">
        <v>85989943568</v>
      </c>
      <c r="D110" s="24" t="s">
        <v>13</v>
      </c>
      <c r="E110" s="6" t="s">
        <v>167</v>
      </c>
      <c r="F110" s="6" t="s">
        <v>168</v>
      </c>
      <c r="G110" s="6" t="s">
        <v>168</v>
      </c>
      <c r="H110" s="6" t="s">
        <v>168</v>
      </c>
      <c r="I110" s="6" t="s">
        <v>168</v>
      </c>
      <c r="J110" s="6" t="s">
        <v>168</v>
      </c>
      <c r="K110" s="6" t="s">
        <v>168</v>
      </c>
      <c r="L110" s="6" t="s">
        <v>168</v>
      </c>
      <c r="M110" s="6" t="s">
        <v>168</v>
      </c>
      <c r="N110" s="6" t="s">
        <v>168</v>
      </c>
      <c r="O110" s="9" t="s">
        <v>169</v>
      </c>
      <c r="P110" s="6" t="s">
        <v>16</v>
      </c>
      <c r="Q110" s="6" t="s">
        <v>16</v>
      </c>
      <c r="R110" s="6" t="s">
        <v>16</v>
      </c>
      <c r="S110" s="6" t="s">
        <v>16</v>
      </c>
      <c r="T110" s="6" t="s">
        <v>16</v>
      </c>
      <c r="U110" s="6" t="s">
        <v>9</v>
      </c>
      <c r="V110" s="6" t="s">
        <v>9</v>
      </c>
      <c r="W110" s="6" t="s">
        <v>9</v>
      </c>
      <c r="X110" s="6" t="s">
        <v>16</v>
      </c>
      <c r="Y110" s="30">
        <f t="shared" si="5"/>
        <v>3</v>
      </c>
      <c r="Z110" s="6" t="s">
        <v>16</v>
      </c>
      <c r="AA110" s="6" t="s">
        <v>9</v>
      </c>
      <c r="AB110" s="6" t="s">
        <v>9</v>
      </c>
      <c r="AC110" s="43" t="s">
        <v>9</v>
      </c>
      <c r="AE110" s="30">
        <f t="shared" si="8"/>
        <v>3</v>
      </c>
      <c r="AF110" s="6"/>
      <c r="AG110" s="6"/>
      <c r="AH110" s="6"/>
      <c r="AI110" s="6"/>
      <c r="AJ110" s="21"/>
      <c r="AK110" s="10" t="s">
        <v>173</v>
      </c>
    </row>
    <row r="111" spans="1:38" x14ac:dyDescent="0.25">
      <c r="A111" s="2" t="s">
        <v>143</v>
      </c>
      <c r="B111" s="21">
        <v>85985984799</v>
      </c>
      <c r="D111" s="24" t="s">
        <v>20</v>
      </c>
      <c r="E111" s="6" t="s">
        <v>167</v>
      </c>
      <c r="F111" s="7" t="s">
        <v>167</v>
      </c>
      <c r="G111" s="7" t="s">
        <v>167</v>
      </c>
      <c r="H111" s="7" t="s">
        <v>167</v>
      </c>
      <c r="I111" s="7" t="s">
        <v>167</v>
      </c>
      <c r="J111" s="7" t="s">
        <v>167</v>
      </c>
      <c r="K111" s="7" t="s">
        <v>167</v>
      </c>
      <c r="L111" s="7" t="s">
        <v>167</v>
      </c>
      <c r="M111" s="7" t="s">
        <v>186</v>
      </c>
      <c r="N111" s="8" t="s">
        <v>168</v>
      </c>
      <c r="O111" s="9" t="s">
        <v>169</v>
      </c>
      <c r="P111" s="6" t="s">
        <v>9</v>
      </c>
      <c r="Q111" s="6" t="s">
        <v>16</v>
      </c>
      <c r="R111" s="6" t="s">
        <v>9</v>
      </c>
      <c r="S111" s="6" t="s">
        <v>9</v>
      </c>
      <c r="T111" s="6" t="s">
        <v>9</v>
      </c>
      <c r="U111" s="6" t="s">
        <v>9</v>
      </c>
      <c r="V111" s="6" t="s">
        <v>16</v>
      </c>
      <c r="W111" s="6" t="s">
        <v>16</v>
      </c>
      <c r="X111" s="6" t="s">
        <v>16</v>
      </c>
      <c r="Y111" s="30">
        <f t="shared" si="5"/>
        <v>5</v>
      </c>
      <c r="Z111" s="6" t="s">
        <v>16</v>
      </c>
      <c r="AA111" s="6" t="s">
        <v>9</v>
      </c>
      <c r="AB111" s="6" t="s">
        <v>9</v>
      </c>
      <c r="AC111" s="43" t="s">
        <v>16</v>
      </c>
      <c r="AE111" s="30">
        <f t="shared" si="8"/>
        <v>2</v>
      </c>
      <c r="AF111" s="6"/>
      <c r="AG111" s="6"/>
      <c r="AH111" s="6"/>
      <c r="AI111" s="6"/>
      <c r="AJ111" s="21"/>
      <c r="AK111" s="14" t="s">
        <v>171</v>
      </c>
    </row>
    <row r="112" spans="1:38" x14ac:dyDescent="0.25">
      <c r="A112" s="2" t="s">
        <v>144</v>
      </c>
      <c r="B112" s="21">
        <v>85994258072</v>
      </c>
      <c r="D112" s="27" t="s">
        <v>11</v>
      </c>
      <c r="E112" s="6" t="s">
        <v>167</v>
      </c>
      <c r="F112" s="7" t="s">
        <v>167</v>
      </c>
      <c r="G112" s="8" t="s">
        <v>168</v>
      </c>
      <c r="H112" s="7" t="s">
        <v>167</v>
      </c>
      <c r="I112" s="7" t="s">
        <v>167</v>
      </c>
      <c r="J112" s="7" t="s">
        <v>167</v>
      </c>
      <c r="K112" s="7" t="s">
        <v>167</v>
      </c>
      <c r="L112" s="7" t="s">
        <v>167</v>
      </c>
      <c r="M112" s="7" t="s">
        <v>167</v>
      </c>
      <c r="N112" s="7" t="s">
        <v>167</v>
      </c>
      <c r="O112" s="9" t="s">
        <v>169</v>
      </c>
      <c r="P112" s="6" t="s">
        <v>9</v>
      </c>
      <c r="Q112" s="6" t="s">
        <v>9</v>
      </c>
      <c r="R112" s="6" t="s">
        <v>9</v>
      </c>
      <c r="S112" s="6" t="s">
        <v>16</v>
      </c>
      <c r="T112" s="6" t="s">
        <v>9</v>
      </c>
      <c r="U112" s="6" t="s">
        <v>9</v>
      </c>
      <c r="V112" s="6" t="s">
        <v>9</v>
      </c>
      <c r="W112" s="6" t="s">
        <v>9</v>
      </c>
      <c r="X112" s="6" t="s">
        <v>9</v>
      </c>
      <c r="Y112" s="30">
        <f t="shared" si="5"/>
        <v>8</v>
      </c>
      <c r="Z112" s="6" t="s">
        <v>23</v>
      </c>
      <c r="AA112" s="6" t="s">
        <v>16</v>
      </c>
      <c r="AB112" s="6" t="s">
        <v>9</v>
      </c>
      <c r="AC112" s="43" t="s">
        <v>16</v>
      </c>
      <c r="AE112" s="30">
        <f t="shared" si="8"/>
        <v>1</v>
      </c>
      <c r="AF112" s="6"/>
      <c r="AG112" s="6"/>
      <c r="AH112" s="6"/>
      <c r="AI112" s="6"/>
      <c r="AJ112" s="38" t="s">
        <v>17</v>
      </c>
      <c r="AK112" s="14" t="s">
        <v>170</v>
      </c>
      <c r="AL112" s="2" t="s">
        <v>145</v>
      </c>
    </row>
    <row r="113" spans="1:38" x14ac:dyDescent="0.25">
      <c r="A113" s="2" t="s">
        <v>146</v>
      </c>
      <c r="B113" s="21">
        <v>85981024351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 t="s">
        <v>34</v>
      </c>
      <c r="Q113" s="6" t="s">
        <v>34</v>
      </c>
      <c r="R113" s="6" t="s">
        <v>34</v>
      </c>
      <c r="S113" s="6" t="s">
        <v>34</v>
      </c>
      <c r="T113" s="6" t="s">
        <v>34</v>
      </c>
      <c r="U113" s="6" t="s">
        <v>34</v>
      </c>
      <c r="V113" s="6" t="s">
        <v>34</v>
      </c>
      <c r="W113" s="6" t="s">
        <v>34</v>
      </c>
      <c r="X113" s="6" t="s">
        <v>34</v>
      </c>
      <c r="Y113" s="30">
        <f t="shared" si="5"/>
        <v>0</v>
      </c>
      <c r="Z113" s="6" t="s">
        <v>9</v>
      </c>
      <c r="AA113" s="6" t="s">
        <v>9</v>
      </c>
      <c r="AB113" s="6" t="s">
        <v>9</v>
      </c>
      <c r="AC113" s="43" t="s">
        <v>9</v>
      </c>
      <c r="AE113" s="30">
        <f t="shared" si="8"/>
        <v>4</v>
      </c>
      <c r="AF113" s="6"/>
      <c r="AG113" s="6"/>
      <c r="AH113" s="6"/>
      <c r="AI113" s="6"/>
      <c r="AJ113" s="21"/>
    </row>
    <row r="114" spans="1:38" x14ac:dyDescent="0.25">
      <c r="A114" s="2" t="s">
        <v>147</v>
      </c>
      <c r="B114" s="21">
        <v>85992442476</v>
      </c>
      <c r="C114" s="8" t="s">
        <v>28</v>
      </c>
      <c r="D114" s="25" t="s">
        <v>11</v>
      </c>
      <c r="E114" s="6" t="s">
        <v>167</v>
      </c>
      <c r="F114" s="7" t="s">
        <v>167</v>
      </c>
      <c r="G114" s="7" t="s">
        <v>167</v>
      </c>
      <c r="H114" s="7" t="s">
        <v>167</v>
      </c>
      <c r="I114" s="7" t="s">
        <v>167</v>
      </c>
      <c r="J114" s="7" t="s">
        <v>167</v>
      </c>
      <c r="K114" s="7" t="s">
        <v>167</v>
      </c>
      <c r="L114" s="7" t="s">
        <v>167</v>
      </c>
      <c r="M114" s="7" t="s">
        <v>167</v>
      </c>
      <c r="N114" s="7" t="s">
        <v>167</v>
      </c>
      <c r="O114" s="9" t="s">
        <v>169</v>
      </c>
      <c r="P114" s="6" t="s">
        <v>9</v>
      </c>
      <c r="Q114" s="6" t="s">
        <v>9</v>
      </c>
      <c r="R114" s="6" t="s">
        <v>9</v>
      </c>
      <c r="S114" s="6" t="s">
        <v>9</v>
      </c>
      <c r="T114" s="6" t="s">
        <v>9</v>
      </c>
      <c r="U114" s="6" t="s">
        <v>9</v>
      </c>
      <c r="V114" s="6" t="s">
        <v>16</v>
      </c>
      <c r="W114" s="6" t="s">
        <v>9</v>
      </c>
      <c r="X114" s="6" t="s">
        <v>9</v>
      </c>
      <c r="Y114" s="30">
        <f t="shared" si="5"/>
        <v>8</v>
      </c>
      <c r="Z114" s="6" t="s">
        <v>16</v>
      </c>
      <c r="AA114" s="6" t="s">
        <v>16</v>
      </c>
      <c r="AB114" s="6" t="s">
        <v>9</v>
      </c>
      <c r="AC114" s="43" t="s">
        <v>16</v>
      </c>
      <c r="AE114" s="30">
        <f t="shared" si="8"/>
        <v>1</v>
      </c>
      <c r="AF114" s="6"/>
      <c r="AG114" s="6"/>
      <c r="AH114" s="6"/>
      <c r="AI114" s="6"/>
      <c r="AJ114" s="38" t="s">
        <v>17</v>
      </c>
      <c r="AK114" s="14" t="s">
        <v>171</v>
      </c>
      <c r="AL114" s="2" t="s">
        <v>18</v>
      </c>
    </row>
    <row r="115" spans="1:38" x14ac:dyDescent="0.25">
      <c r="A115" s="2" t="s">
        <v>148</v>
      </c>
      <c r="B115" s="21">
        <v>85998481280</v>
      </c>
      <c r="D115" s="27" t="s">
        <v>11</v>
      </c>
      <c r="E115" s="6" t="s">
        <v>167</v>
      </c>
      <c r="F115" s="7" t="s">
        <v>167</v>
      </c>
      <c r="G115" s="7" t="s">
        <v>167</v>
      </c>
      <c r="H115" s="8" t="s">
        <v>168</v>
      </c>
      <c r="I115" s="7" t="s">
        <v>167</v>
      </c>
      <c r="J115" s="8" t="s">
        <v>168</v>
      </c>
      <c r="K115" s="7" t="s">
        <v>167</v>
      </c>
      <c r="L115" s="7" t="s">
        <v>167</v>
      </c>
      <c r="M115" s="7" t="s">
        <v>167</v>
      </c>
      <c r="N115" s="7" t="s">
        <v>167</v>
      </c>
      <c r="O115" s="6" t="s">
        <v>13</v>
      </c>
      <c r="P115" s="6" t="s">
        <v>34</v>
      </c>
      <c r="Q115" s="6" t="s">
        <v>34</v>
      </c>
      <c r="R115" s="6" t="s">
        <v>34</v>
      </c>
      <c r="S115" s="6" t="s">
        <v>34</v>
      </c>
      <c r="T115" s="6" t="s">
        <v>34</v>
      </c>
      <c r="U115" s="6" t="s">
        <v>34</v>
      </c>
      <c r="V115" s="6" t="s">
        <v>34</v>
      </c>
      <c r="W115" s="6" t="s">
        <v>34</v>
      </c>
      <c r="X115" s="6" t="s">
        <v>34</v>
      </c>
      <c r="Y115" s="30">
        <f t="shared" si="5"/>
        <v>0</v>
      </c>
      <c r="Z115" s="6" t="s">
        <v>34</v>
      </c>
      <c r="AA115" s="6" t="s">
        <v>34</v>
      </c>
      <c r="AB115" s="6" t="s">
        <v>16</v>
      </c>
      <c r="AC115" s="43" t="s">
        <v>16</v>
      </c>
      <c r="AE115" s="30">
        <f t="shared" si="8"/>
        <v>0</v>
      </c>
      <c r="AF115" s="6"/>
      <c r="AG115" s="6"/>
      <c r="AH115" s="6"/>
      <c r="AI115" s="6"/>
      <c r="AJ115" s="38" t="s">
        <v>17</v>
      </c>
      <c r="AK115" s="13" t="s">
        <v>203</v>
      </c>
      <c r="AL115" s="2" t="s">
        <v>149</v>
      </c>
    </row>
    <row r="116" spans="1:38" x14ac:dyDescent="0.25">
      <c r="A116" s="2" t="s">
        <v>150</v>
      </c>
      <c r="B116" s="21">
        <v>85987926558</v>
      </c>
      <c r="P116" s="6" t="s">
        <v>34</v>
      </c>
      <c r="Q116" s="6" t="s">
        <v>34</v>
      </c>
      <c r="R116" s="6" t="s">
        <v>34</v>
      </c>
      <c r="S116" s="6" t="s">
        <v>34</v>
      </c>
      <c r="T116" s="6" t="s">
        <v>34</v>
      </c>
      <c r="U116" s="6" t="s">
        <v>34</v>
      </c>
      <c r="V116" s="6" t="s">
        <v>34</v>
      </c>
      <c r="W116" s="6" t="s">
        <v>34</v>
      </c>
      <c r="X116" s="6" t="s">
        <v>34</v>
      </c>
      <c r="Y116" s="30">
        <f>COUNTIF(P116:X116,"P")</f>
        <v>0</v>
      </c>
      <c r="Z116" s="6" t="s">
        <v>34</v>
      </c>
      <c r="AA116" s="6" t="s">
        <v>34</v>
      </c>
      <c r="AB116" s="6" t="s">
        <v>9</v>
      </c>
      <c r="AC116" s="43" t="s">
        <v>34</v>
      </c>
      <c r="AE116" s="30">
        <f t="shared" si="8"/>
        <v>1</v>
      </c>
      <c r="AF116" s="6"/>
      <c r="AG116" s="6"/>
      <c r="AH116" s="6"/>
      <c r="AI116" s="6"/>
    </row>
    <row r="117" spans="1:38" x14ac:dyDescent="0.25">
      <c r="A117" s="2" t="s">
        <v>151</v>
      </c>
      <c r="B117" s="21">
        <v>85986208608</v>
      </c>
      <c r="D117" s="24" t="s">
        <v>20</v>
      </c>
      <c r="E117" s="6" t="s">
        <v>167</v>
      </c>
      <c r="F117" s="7" t="s">
        <v>167</v>
      </c>
      <c r="G117" s="7" t="s">
        <v>167</v>
      </c>
      <c r="H117" s="7" t="s">
        <v>167</v>
      </c>
      <c r="I117" s="7" t="s">
        <v>167</v>
      </c>
      <c r="J117" s="7" t="s">
        <v>167</v>
      </c>
      <c r="K117" s="7" t="s">
        <v>167</v>
      </c>
      <c r="L117" s="7" t="s">
        <v>167</v>
      </c>
      <c r="M117" s="7" t="s">
        <v>167</v>
      </c>
      <c r="N117" s="7" t="s">
        <v>167</v>
      </c>
      <c r="O117" s="9" t="s">
        <v>169</v>
      </c>
      <c r="P117" s="6" t="s">
        <v>9</v>
      </c>
      <c r="Q117" s="6" t="s">
        <v>9</v>
      </c>
      <c r="R117" s="6" t="s">
        <v>9</v>
      </c>
      <c r="S117" s="6" t="s">
        <v>9</v>
      </c>
      <c r="T117" s="6" t="s">
        <v>9</v>
      </c>
      <c r="U117" s="6" t="s">
        <v>9</v>
      </c>
      <c r="V117" s="6" t="s">
        <v>9</v>
      </c>
      <c r="W117" s="6" t="s">
        <v>9</v>
      </c>
      <c r="X117" s="6" t="s">
        <v>9</v>
      </c>
      <c r="Y117" s="30">
        <f t="shared" si="5"/>
        <v>9</v>
      </c>
      <c r="Z117" s="6" t="s">
        <v>9</v>
      </c>
      <c r="AA117" s="6" t="s">
        <v>16</v>
      </c>
      <c r="AB117" s="6" t="s">
        <v>9</v>
      </c>
      <c r="AC117" s="43" t="s">
        <v>16</v>
      </c>
      <c r="AE117" s="30">
        <f t="shared" si="8"/>
        <v>2</v>
      </c>
      <c r="AF117" s="6"/>
      <c r="AG117" s="6"/>
      <c r="AH117" s="6"/>
      <c r="AI117" s="6"/>
      <c r="AJ117" s="39" t="s">
        <v>21</v>
      </c>
      <c r="AK117" s="14" t="s">
        <v>171</v>
      </c>
    </row>
    <row r="118" spans="1:38" x14ac:dyDescent="0.25">
      <c r="A118" s="2" t="s">
        <v>152</v>
      </c>
      <c r="B118" s="21"/>
      <c r="D118" s="24" t="s">
        <v>20</v>
      </c>
      <c r="E118" s="6" t="s">
        <v>167</v>
      </c>
      <c r="F118" s="7" t="s">
        <v>167</v>
      </c>
      <c r="G118" s="8" t="s">
        <v>168</v>
      </c>
      <c r="H118" s="7" t="s">
        <v>167</v>
      </c>
      <c r="I118" s="7" t="s">
        <v>167</v>
      </c>
      <c r="J118" s="7" t="s">
        <v>167</v>
      </c>
      <c r="K118" s="7" t="s">
        <v>167</v>
      </c>
      <c r="L118" s="7" t="s">
        <v>167</v>
      </c>
      <c r="M118" s="7" t="s">
        <v>167</v>
      </c>
      <c r="N118" s="7" t="s">
        <v>167</v>
      </c>
      <c r="O118" s="9" t="s">
        <v>169</v>
      </c>
      <c r="P118" s="6" t="s">
        <v>9</v>
      </c>
      <c r="Q118" s="6" t="s">
        <v>9</v>
      </c>
      <c r="R118" s="6" t="s">
        <v>9</v>
      </c>
      <c r="S118" s="6" t="s">
        <v>9</v>
      </c>
      <c r="T118" s="6" t="s">
        <v>9</v>
      </c>
      <c r="U118" s="6" t="s">
        <v>9</v>
      </c>
      <c r="V118" s="6" t="s">
        <v>16</v>
      </c>
      <c r="W118" s="6" t="s">
        <v>16</v>
      </c>
      <c r="X118" s="6" t="s">
        <v>9</v>
      </c>
      <c r="Y118" s="30">
        <f>COUNTIF(P118:X118,"P")</f>
        <v>7</v>
      </c>
      <c r="Z118" s="6" t="s">
        <v>16</v>
      </c>
      <c r="AA118" s="6" t="s">
        <v>16</v>
      </c>
      <c r="AB118" s="6" t="s">
        <v>9</v>
      </c>
      <c r="AC118" s="43" t="s">
        <v>9</v>
      </c>
      <c r="AE118" s="30">
        <f t="shared" si="8"/>
        <v>2</v>
      </c>
      <c r="AF118" s="6"/>
      <c r="AG118" s="6"/>
      <c r="AH118" s="6"/>
      <c r="AI118" s="6"/>
      <c r="AJ118" s="38" t="s">
        <v>17</v>
      </c>
      <c r="AK118" s="15" t="s">
        <v>204</v>
      </c>
      <c r="AL118" s="2" t="s">
        <v>32</v>
      </c>
    </row>
    <row r="119" spans="1:38" x14ac:dyDescent="0.25">
      <c r="P119" s="4">
        <f>COUNTIF(P2:P118,"P")</f>
        <v>40</v>
      </c>
      <c r="Q119" s="4">
        <f t="shared" ref="Q119:X119" si="9">COUNTIF(Q2:Q118,"P")</f>
        <v>19</v>
      </c>
      <c r="R119" s="4">
        <f t="shared" si="9"/>
        <v>22</v>
      </c>
      <c r="S119" s="4">
        <f t="shared" si="9"/>
        <v>25</v>
      </c>
      <c r="T119" s="4">
        <f t="shared" si="9"/>
        <v>28</v>
      </c>
      <c r="U119" s="4">
        <f t="shared" si="9"/>
        <v>42</v>
      </c>
      <c r="V119" s="4">
        <f t="shared" si="9"/>
        <v>32</v>
      </c>
      <c r="W119" s="4">
        <f t="shared" si="9"/>
        <v>40</v>
      </c>
      <c r="X119" s="4">
        <f t="shared" si="9"/>
        <v>46</v>
      </c>
      <c r="Y119" s="4"/>
      <c r="Z119" s="4">
        <f>COUNTIF(Z2:Z118,"P")</f>
        <v>53</v>
      </c>
      <c r="AA119" s="4">
        <f>COUNTIF(AA2:AA118,"P")</f>
        <v>49</v>
      </c>
      <c r="AB119" s="4">
        <f>COUNTIF(AB2:AB118,"P")</f>
        <v>66</v>
      </c>
      <c r="AC119" s="4">
        <f>COUNTIF(AC2:AC118,"P")</f>
        <v>62</v>
      </c>
      <c r="AD119" s="4"/>
      <c r="AE119" s="30"/>
      <c r="AF119" s="6"/>
      <c r="AG119" s="6"/>
      <c r="AH119" s="6"/>
      <c r="AI119" s="6"/>
    </row>
    <row r="120" spans="1:38" x14ac:dyDescent="0.25">
      <c r="W120" s="22"/>
      <c r="X120" s="31" t="s">
        <v>205</v>
      </c>
      <c r="Y120" s="4">
        <f>COUNTA(A2:A118)</f>
        <v>117</v>
      </c>
      <c r="AD120" s="31" t="s">
        <v>205</v>
      </c>
      <c r="AE120" s="5">
        <f>COUNTA(A2:A118)</f>
        <v>117</v>
      </c>
      <c r="AF120" s="42"/>
      <c r="AG120" s="42"/>
      <c r="AH120" s="42"/>
      <c r="AI120" s="42"/>
    </row>
    <row r="121" spans="1:38" x14ac:dyDescent="0.25">
      <c r="W121" s="22"/>
      <c r="X121" s="31" t="s">
        <v>206</v>
      </c>
      <c r="Y121" s="4">
        <f>COUNTIF(Y2:Y118,"0")</f>
        <v>47</v>
      </c>
      <c r="AD121" s="31" t="s">
        <v>206</v>
      </c>
      <c r="AE121" s="5">
        <f>COUNTIF(AE2:AE118,"0")</f>
        <v>22</v>
      </c>
      <c r="AF121" s="42"/>
      <c r="AG121" s="42"/>
      <c r="AH121" s="42"/>
      <c r="AI121" s="42"/>
    </row>
    <row r="122" spans="1:38" x14ac:dyDescent="0.25">
      <c r="W122" s="22"/>
      <c r="X122" s="31" t="s">
        <v>207</v>
      </c>
      <c r="Y122" s="4">
        <f>Y120-Y121</f>
        <v>70</v>
      </c>
      <c r="AD122" s="31" t="s">
        <v>207</v>
      </c>
      <c r="AE122" s="5">
        <f>AE120-AE121</f>
        <v>95</v>
      </c>
      <c r="AF122" s="42"/>
      <c r="AG122" s="42"/>
      <c r="AH122" s="42"/>
      <c r="AI122" s="42"/>
    </row>
  </sheetData>
  <autoFilter ref="A1:AL122" xr:uid="{00000000-0009-0000-0000-000001000000}"/>
  <conditionalFormatting sqref="D1 O1:Y1 D4:O5 D7:O8 D10:O10 D13:O19 D21:D24 E22:P23 D28 D30:D31 D33:D36 D38:D40 E51:P51 D53:D60 E57:X57 D62:D64 D66:D67 D69:D77 D79:D86 D89:D94 D96:D102 D104:D108">
    <cfRule type="containsText" dxfId="64" priority="4" operator="containsText" text="FALTA">
      <formula>NOT(ISERROR(SEARCH("FALTA",D1)))</formula>
    </cfRule>
    <cfRule type="containsText" dxfId="63" priority="5" operator="containsText" text="OK">
      <formula>NOT(ISERROR(SEARCH("OK",D1)))</formula>
    </cfRule>
  </conditionalFormatting>
  <conditionalFormatting sqref="J1 AK4:AK5 AK7:AK8 AL10 AK13:AK19 AK22:AK25 E24:O25 E29:O34 AK29:AK39 E36:O39 E41:O43 AK41:AK43 D42:D50 AK45:AK49 E45:O50 W51:X51 AK51:AK53 E52:O53 E56:O56 AK56:AK63 E58:O63 E65:O67 AK65:AK67 E69:O70 AK69:AK70 E72:O80 AK72:AK80 AK82:AK84 E82:O90 AK87:AK90 E92:I94 K92:N94 AK92:AK94 J92:J96 O92:O100 E94:O94 O102:O109 J104 O111:O114">
    <cfRule type="containsText" dxfId="62" priority="28" operator="containsText" text="FALTA">
      <formula>NOT(ISERROR(SEARCH("FALTA",D1)))</formula>
    </cfRule>
    <cfRule type="containsText" dxfId="61" priority="29" operator="containsText" text="OK">
      <formula>NOT(ISERROR(SEARCH("OK",D1)))</formula>
    </cfRule>
  </conditionalFormatting>
  <conditionalFormatting sqref="P7 U7:X7 P13 W14:X14 P15:P16">
    <cfRule type="containsText" dxfId="60" priority="22" operator="containsText" text="FALTA">
      <formula>NOT(ISERROR(SEARCH("FALTA",P7)))</formula>
    </cfRule>
    <cfRule type="containsText" dxfId="59" priority="23" operator="containsText" text="OK">
      <formula>NOT(ISERROR(SEARCH("OK",P7)))</formula>
    </cfRule>
  </conditionalFormatting>
  <conditionalFormatting sqref="P48:P49 U49:X49 P50:X50">
    <cfRule type="containsText" dxfId="58" priority="16" operator="containsText" text="FALTA">
      <formula>NOT(ISERROR(SEARCH("FALTA",P48)))</formula>
    </cfRule>
    <cfRule type="containsText" dxfId="57" priority="17" operator="containsText" text="OK">
      <formula>NOT(ISERROR(SEARCH("OK",P48)))</formula>
    </cfRule>
  </conditionalFormatting>
  <conditionalFormatting sqref="P4:X4">
    <cfRule type="containsText" dxfId="56" priority="24" operator="containsText" text="FALTA">
      <formula>NOT(ISERROR(SEARCH("FALTA",P4)))</formula>
    </cfRule>
    <cfRule type="containsText" dxfId="55" priority="25" operator="containsText" text="OK">
      <formula>NOT(ISERROR(SEARCH("OK",P4)))</formula>
    </cfRule>
  </conditionalFormatting>
  <conditionalFormatting sqref="P47:X47">
    <cfRule type="containsText" dxfId="54" priority="18" operator="containsText" text="FALTA">
      <formula>NOT(ISERROR(SEARCH("FALTA",P47)))</formula>
    </cfRule>
    <cfRule type="containsText" dxfId="53" priority="19" operator="containsText" text="OK">
      <formula>NOT(ISERROR(SEARCH("OK",P47)))</formula>
    </cfRule>
  </conditionalFormatting>
  <conditionalFormatting sqref="P102:X102 P105 U105:W105 P106:X107 W109:X109 P111:U111 P112:X112 P114:X114">
    <cfRule type="containsText" dxfId="52" priority="10" operator="containsText" text="FALTA">
      <formula>NOT(ISERROR(SEARCH("FALTA",P102)))</formula>
    </cfRule>
    <cfRule type="containsText" dxfId="51" priority="11" operator="containsText" text="OK">
      <formula>NOT(ISERROR(SEARCH("OK",P102)))</formula>
    </cfRule>
  </conditionalFormatting>
  <conditionalFormatting sqref="P1:AD82 Z83:AD98 P83:Y114 Z99:AB99 AD99:AD100 Z100:AC100 Z101:AD114 P115:AD1048576">
    <cfRule type="containsText" dxfId="50" priority="1" operator="containsText" text="F">
      <formula>NOT(ISERROR(SEARCH("F",P1)))</formula>
    </cfRule>
    <cfRule type="containsText" dxfId="49" priority="2" operator="containsText" text="P">
      <formula>NOT(ISERROR(SEARCH("P",P1)))</formula>
    </cfRule>
    <cfRule type="containsText" dxfId="48" priority="3" operator="containsText" text="NA">
      <formula>NOT(ISERROR(SEARCH("NA",P1)))</formula>
    </cfRule>
  </conditionalFormatting>
  <conditionalFormatting sqref="S24:X24 S29:X29 W30:X30 P31 S31:U31 X31 P34:X34 X37 P38 P39:X39 P42:U42 X42 P43 U43:X43">
    <cfRule type="containsText" dxfId="47" priority="20" operator="containsText" text="FALTA">
      <formula>NOT(ISERROR(SEARCH("FALTA",P24)))</formula>
    </cfRule>
    <cfRule type="containsText" dxfId="46" priority="21" operator="containsText" text="OK">
      <formula>NOT(ISERROR(SEARCH("OK",P24)))</formula>
    </cfRule>
  </conditionalFormatting>
  <conditionalFormatting sqref="W52 P53:X53">
    <cfRule type="containsText" dxfId="45" priority="14" operator="containsText" text="FALTA">
      <formula>NOT(ISERROR(SEARCH("FALTA",P52)))</formula>
    </cfRule>
    <cfRule type="containsText" dxfId="44" priority="15" operator="containsText" text="OK">
      <formula>NOT(ISERROR(SEARCH("OK",P52)))</formula>
    </cfRule>
  </conditionalFormatting>
  <conditionalFormatting sqref="X58:X59 U60:X60 P60:P62 T61:X61 R61:R62 T62:U62 W62:X62 P63:W63 P67:X67 X69 U72:X72 X74 W75:X75 P75:P78 S76:U76 S78:U78 X78 P79:X79 P80 W80:X80 P82 W84 P85:P90 U87:W88 U89:X89 P92 P95 U95:X95 P97 X97:X98 P98:U98">
    <cfRule type="containsText" dxfId="43" priority="12" operator="containsText" text="FALTA">
      <formula>NOT(ISERROR(SEARCH("FALTA",P58)))</formula>
    </cfRule>
    <cfRule type="containsText" dxfId="42" priority="13" operator="containsText" text="OK">
      <formula>NOT(ISERROR(SEARCH("OK",P58)))</formula>
    </cfRule>
  </conditionalFormatting>
  <conditionalFormatting sqref="AE1:AI1">
    <cfRule type="containsText" dxfId="41" priority="6" operator="containsText" text="FALTA">
      <formula>NOT(ISERROR(SEARCH("FALTA",AE1)))</formula>
    </cfRule>
    <cfRule type="containsText" dxfId="40" priority="7" operator="containsText" text="OK">
      <formula>NOT(ISERROR(SEARCH("OK",AE1)))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9"/>
  <sheetViews>
    <sheetView tabSelected="1" zoomScale="85" zoomScaleNormal="85" workbookViewId="0">
      <pane xSplit="5" ySplit="1" topLeftCell="M115" activePane="bottomRight" state="frozen"/>
      <selection pane="topRight" activeCell="F1" sqref="F1"/>
      <selection pane="bottomLeft" activeCell="A2" sqref="A2"/>
      <selection pane="bottomRight" activeCell="Z126" sqref="Z126"/>
    </sheetView>
  </sheetViews>
  <sheetFormatPr defaultColWidth="9.140625" defaultRowHeight="13.5" x14ac:dyDescent="0.25"/>
  <cols>
    <col min="1" max="1" width="42.42578125" style="2" customWidth="1"/>
    <col min="2" max="2" width="13.85546875" style="2" bestFit="1" customWidth="1"/>
    <col min="3" max="3" width="11.85546875" style="6" bestFit="1" customWidth="1"/>
    <col min="4" max="4" width="16.42578125" style="24" bestFit="1" customWidth="1"/>
    <col min="5" max="5" width="11" style="24" customWidth="1"/>
    <col min="6" max="6" width="21.28515625" style="6" bestFit="1" customWidth="1"/>
    <col min="7" max="10" width="12.42578125" style="6" customWidth="1"/>
    <col min="11" max="11" width="12.140625" style="6" bestFit="1" customWidth="1"/>
    <col min="12" max="20" width="12.42578125" style="6" customWidth="1"/>
    <col min="21" max="21" width="12.42578125" style="17" customWidth="1"/>
    <col min="22" max="30" width="12.42578125" style="6" customWidth="1"/>
    <col min="31" max="31" width="15" style="29" bestFit="1" customWidth="1"/>
    <col min="32" max="32" width="86" style="2" bestFit="1" customWidth="1"/>
    <col min="33" max="33" width="56.28515625" style="2" bestFit="1" customWidth="1"/>
    <col min="34" max="34" width="64.140625" style="2" bestFit="1" customWidth="1"/>
    <col min="35" max="16384" width="9.140625" style="2"/>
  </cols>
  <sheetData>
    <row r="1" spans="1:34" s="51" customFormat="1" x14ac:dyDescent="0.25">
      <c r="A1" s="4" t="s">
        <v>0</v>
      </c>
      <c r="B1" s="4" t="s">
        <v>1</v>
      </c>
      <c r="C1" s="4" t="s">
        <v>2</v>
      </c>
      <c r="D1" s="23" t="s">
        <v>3</v>
      </c>
      <c r="E1" s="23" t="s">
        <v>208</v>
      </c>
      <c r="F1" s="20" t="s">
        <v>164</v>
      </c>
      <c r="G1" s="20">
        <v>45621</v>
      </c>
      <c r="H1" s="20">
        <v>45623</v>
      </c>
      <c r="I1" s="20">
        <v>45628</v>
      </c>
      <c r="J1" s="20">
        <v>45630</v>
      </c>
      <c r="K1" s="20">
        <v>45635</v>
      </c>
      <c r="L1" s="20">
        <v>45637</v>
      </c>
      <c r="M1" s="20">
        <v>45642</v>
      </c>
      <c r="N1" s="20">
        <v>45644</v>
      </c>
      <c r="O1" s="20" t="s">
        <v>165</v>
      </c>
      <c r="P1" s="20">
        <v>45665</v>
      </c>
      <c r="Q1" s="20">
        <v>45670</v>
      </c>
      <c r="R1" s="20">
        <v>45672</v>
      </c>
      <c r="S1" s="20">
        <v>45677</v>
      </c>
      <c r="T1" s="20">
        <v>45679</v>
      </c>
      <c r="U1" s="20" t="s">
        <v>165</v>
      </c>
      <c r="V1" s="20">
        <v>45684</v>
      </c>
      <c r="W1" s="20">
        <v>45686</v>
      </c>
      <c r="X1" s="20">
        <v>45691</v>
      </c>
      <c r="Y1" s="20">
        <v>45693</v>
      </c>
      <c r="Z1" s="20">
        <v>45698</v>
      </c>
      <c r="AA1" s="20">
        <v>45700</v>
      </c>
      <c r="AB1" s="20">
        <v>45705</v>
      </c>
      <c r="AC1" s="20">
        <v>45707</v>
      </c>
      <c r="AD1" s="20" t="s">
        <v>165</v>
      </c>
      <c r="AE1" s="37" t="s">
        <v>5</v>
      </c>
      <c r="AF1" s="10" t="s">
        <v>166</v>
      </c>
      <c r="AG1" s="2" t="s">
        <v>6</v>
      </c>
      <c r="AH1" s="2"/>
    </row>
    <row r="2" spans="1:34" x14ac:dyDescent="0.25">
      <c r="A2" s="2" t="s">
        <v>209</v>
      </c>
      <c r="B2" s="21"/>
      <c r="C2" s="6" t="s">
        <v>210</v>
      </c>
      <c r="D2" s="24" t="s">
        <v>20</v>
      </c>
      <c r="E2" s="24" t="s">
        <v>211</v>
      </c>
      <c r="F2" s="6" t="s">
        <v>34</v>
      </c>
      <c r="G2" s="6" t="s">
        <v>34</v>
      </c>
      <c r="H2" s="6" t="s">
        <v>34</v>
      </c>
      <c r="I2" s="6" t="s">
        <v>34</v>
      </c>
      <c r="J2" s="6" t="s">
        <v>34</v>
      </c>
      <c r="K2" s="6" t="s">
        <v>34</v>
      </c>
      <c r="L2" s="6" t="s">
        <v>34</v>
      </c>
      <c r="M2" s="6" t="s">
        <v>34</v>
      </c>
      <c r="N2" s="6" t="s">
        <v>34</v>
      </c>
      <c r="O2" s="30">
        <f>COUNTIF(F2:N2,"P")</f>
        <v>0</v>
      </c>
      <c r="P2" s="6" t="s">
        <v>34</v>
      </c>
      <c r="Q2" s="6" t="s">
        <v>34</v>
      </c>
      <c r="R2" s="6" t="s">
        <v>9</v>
      </c>
      <c r="S2" s="43" t="s">
        <v>9</v>
      </c>
      <c r="T2" s="6" t="s">
        <v>23</v>
      </c>
      <c r="U2" s="30">
        <f>COUNTIF(P2:T2,"P")</f>
        <v>2</v>
      </c>
      <c r="V2" s="6" t="s">
        <v>9</v>
      </c>
      <c r="W2" s="6" t="s">
        <v>9</v>
      </c>
      <c r="X2" s="6" t="s">
        <v>9</v>
      </c>
      <c r="Y2" s="6" t="s">
        <v>9</v>
      </c>
      <c r="Z2" s="6" t="s">
        <v>9</v>
      </c>
      <c r="AA2" s="6" t="s">
        <v>9</v>
      </c>
      <c r="AB2" s="6" t="s">
        <v>9</v>
      </c>
      <c r="AD2" s="30">
        <f>COUNTIF(V2:AC2,"P")</f>
        <v>7</v>
      </c>
    </row>
    <row r="3" spans="1:34" x14ac:dyDescent="0.25">
      <c r="A3" s="2" t="s">
        <v>24</v>
      </c>
      <c r="B3" s="21"/>
      <c r="C3" s="6" t="s">
        <v>210</v>
      </c>
      <c r="D3" s="24" t="s">
        <v>20</v>
      </c>
      <c r="E3" s="24" t="s">
        <v>211</v>
      </c>
      <c r="F3" s="6" t="s">
        <v>16</v>
      </c>
      <c r="G3" s="6" t="s">
        <v>16</v>
      </c>
      <c r="H3" s="6" t="s">
        <v>16</v>
      </c>
      <c r="I3" s="6" t="s">
        <v>16</v>
      </c>
      <c r="J3" s="6" t="s">
        <v>16</v>
      </c>
      <c r="K3" s="6" t="s">
        <v>9</v>
      </c>
      <c r="L3" s="6" t="s">
        <v>9</v>
      </c>
      <c r="M3" s="6" t="s">
        <v>9</v>
      </c>
      <c r="N3" s="6" t="s">
        <v>16</v>
      </c>
      <c r="O3" s="30">
        <f t="shared" ref="O3:O66" si="0">COUNTIF(F3:N3,"P")</f>
        <v>3</v>
      </c>
      <c r="P3" s="6" t="s">
        <v>9</v>
      </c>
      <c r="Q3" s="6" t="s">
        <v>9</v>
      </c>
      <c r="R3" s="6" t="s">
        <v>9</v>
      </c>
      <c r="S3" s="43" t="s">
        <v>9</v>
      </c>
      <c r="T3" s="6" t="s">
        <v>9</v>
      </c>
      <c r="U3" s="30">
        <f t="shared" ref="U3:U66" si="1">COUNTIF(P3:T3,"P")</f>
        <v>5</v>
      </c>
      <c r="V3" s="6" t="s">
        <v>16</v>
      </c>
      <c r="W3" s="6" t="s">
        <v>9</v>
      </c>
      <c r="X3" s="6" t="s">
        <v>9</v>
      </c>
      <c r="Y3" s="6" t="s">
        <v>9</v>
      </c>
      <c r="Z3" s="6" t="s">
        <v>9</v>
      </c>
      <c r="AA3" s="6" t="s">
        <v>9</v>
      </c>
      <c r="AD3" s="30">
        <f t="shared" ref="AD3:AD66" si="2">COUNTIF(V3:AC3,"P")</f>
        <v>5</v>
      </c>
      <c r="AE3" s="21"/>
      <c r="AF3" s="11" t="s">
        <v>174</v>
      </c>
    </row>
    <row r="4" spans="1:34" s="29" customFormat="1" x14ac:dyDescent="0.25">
      <c r="A4" s="2" t="s">
        <v>25</v>
      </c>
      <c r="B4" s="21">
        <v>85981024351</v>
      </c>
      <c r="C4" s="6" t="s">
        <v>210</v>
      </c>
      <c r="D4" s="24" t="s">
        <v>20</v>
      </c>
      <c r="E4" s="24" t="s">
        <v>211</v>
      </c>
      <c r="F4" s="6" t="s">
        <v>34</v>
      </c>
      <c r="G4" s="6" t="s">
        <v>34</v>
      </c>
      <c r="H4" s="6" t="s">
        <v>34</v>
      </c>
      <c r="I4" s="6" t="s">
        <v>34</v>
      </c>
      <c r="J4" s="6" t="s">
        <v>34</v>
      </c>
      <c r="K4" s="6" t="s">
        <v>34</v>
      </c>
      <c r="L4" s="6" t="s">
        <v>34</v>
      </c>
      <c r="M4" s="6" t="s">
        <v>34</v>
      </c>
      <c r="N4" s="6" t="s">
        <v>34</v>
      </c>
      <c r="O4" s="30">
        <f t="shared" si="0"/>
        <v>0</v>
      </c>
      <c r="P4" s="6" t="s">
        <v>16</v>
      </c>
      <c r="Q4" s="6" t="s">
        <v>16</v>
      </c>
      <c r="R4" s="6" t="s">
        <v>23</v>
      </c>
      <c r="S4" s="43" t="s">
        <v>9</v>
      </c>
      <c r="T4" s="6" t="s">
        <v>9</v>
      </c>
      <c r="U4" s="30">
        <f t="shared" si="1"/>
        <v>2</v>
      </c>
      <c r="V4" s="6" t="s">
        <v>9</v>
      </c>
      <c r="W4" s="6" t="s">
        <v>9</v>
      </c>
      <c r="X4" s="6" t="s">
        <v>9</v>
      </c>
      <c r="Y4" s="6" t="s">
        <v>9</v>
      </c>
      <c r="Z4" s="6" t="s">
        <v>9</v>
      </c>
      <c r="AA4" s="6" t="s">
        <v>9</v>
      </c>
      <c r="AB4" s="6"/>
      <c r="AC4" s="6"/>
      <c r="AD4" s="30">
        <f t="shared" si="2"/>
        <v>6</v>
      </c>
      <c r="AE4" s="38" t="s">
        <v>17</v>
      </c>
      <c r="AF4" s="2"/>
      <c r="AG4" s="2" t="s">
        <v>26</v>
      </c>
      <c r="AH4" s="2"/>
    </row>
    <row r="5" spans="1:34" x14ac:dyDescent="0.25">
      <c r="A5" s="2" t="s">
        <v>29</v>
      </c>
      <c r="B5" s="21">
        <v>85986029128</v>
      </c>
      <c r="C5" s="6" t="s">
        <v>210</v>
      </c>
      <c r="D5" s="24" t="s">
        <v>20</v>
      </c>
      <c r="E5" s="24" t="s">
        <v>211</v>
      </c>
      <c r="F5" s="6" t="s">
        <v>16</v>
      </c>
      <c r="G5" s="6" t="s">
        <v>16</v>
      </c>
      <c r="H5" s="6" t="s">
        <v>16</v>
      </c>
      <c r="I5" s="6" t="s">
        <v>9</v>
      </c>
      <c r="J5" s="6" t="s">
        <v>9</v>
      </c>
      <c r="K5" s="6" t="s">
        <v>9</v>
      </c>
      <c r="L5" s="6" t="s">
        <v>9</v>
      </c>
      <c r="M5" s="6" t="s">
        <v>16</v>
      </c>
      <c r="N5" s="6" t="s">
        <v>16</v>
      </c>
      <c r="O5" s="30">
        <f t="shared" si="0"/>
        <v>4</v>
      </c>
      <c r="P5" s="6" t="s">
        <v>9</v>
      </c>
      <c r="Q5" s="6" t="s">
        <v>9</v>
      </c>
      <c r="R5" s="6" t="s">
        <v>16</v>
      </c>
      <c r="S5" s="43" t="s">
        <v>9</v>
      </c>
      <c r="T5" s="6" t="s">
        <v>16</v>
      </c>
      <c r="U5" s="30">
        <f t="shared" si="1"/>
        <v>3</v>
      </c>
      <c r="V5" s="6" t="s">
        <v>9</v>
      </c>
      <c r="W5" s="6" t="s">
        <v>9</v>
      </c>
      <c r="X5" s="6" t="s">
        <v>9</v>
      </c>
      <c r="Y5" s="6" t="s">
        <v>9</v>
      </c>
      <c r="Z5" s="6" t="s">
        <v>9</v>
      </c>
      <c r="AA5" s="6" t="s">
        <v>9</v>
      </c>
      <c r="AB5" s="6" t="s">
        <v>9</v>
      </c>
      <c r="AD5" s="30">
        <f t="shared" si="2"/>
        <v>7</v>
      </c>
      <c r="AE5" s="21"/>
      <c r="AF5" s="10" t="s">
        <v>173</v>
      </c>
    </row>
    <row r="6" spans="1:34" x14ac:dyDescent="0.25">
      <c r="A6" s="2" t="s">
        <v>212</v>
      </c>
      <c r="B6" s="21"/>
      <c r="C6" s="6" t="s">
        <v>210</v>
      </c>
      <c r="D6" s="24" t="s">
        <v>20</v>
      </c>
      <c r="E6" s="24" t="s">
        <v>211</v>
      </c>
      <c r="F6" s="6" t="s">
        <v>34</v>
      </c>
      <c r="G6" s="6" t="s">
        <v>34</v>
      </c>
      <c r="H6" s="6" t="s">
        <v>34</v>
      </c>
      <c r="I6" s="6" t="s">
        <v>34</v>
      </c>
      <c r="J6" s="6" t="s">
        <v>34</v>
      </c>
      <c r="K6" s="6" t="s">
        <v>34</v>
      </c>
      <c r="L6" s="6" t="s">
        <v>34</v>
      </c>
      <c r="M6" s="6" t="s">
        <v>34</v>
      </c>
      <c r="N6" s="6" t="s">
        <v>34</v>
      </c>
      <c r="O6" s="30">
        <f t="shared" si="0"/>
        <v>0</v>
      </c>
      <c r="P6" s="6" t="s">
        <v>34</v>
      </c>
      <c r="Q6" s="6" t="s">
        <v>34</v>
      </c>
      <c r="R6" s="6" t="s">
        <v>34</v>
      </c>
      <c r="S6" s="6" t="s">
        <v>34</v>
      </c>
      <c r="T6" s="6" t="s">
        <v>34</v>
      </c>
      <c r="U6" s="30">
        <f t="shared" si="1"/>
        <v>0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23</v>
      </c>
      <c r="AA6" s="6" t="s">
        <v>9</v>
      </c>
      <c r="AB6" s="6" t="s">
        <v>9</v>
      </c>
      <c r="AD6" s="30">
        <f t="shared" si="2"/>
        <v>6</v>
      </c>
      <c r="AE6" s="21"/>
      <c r="AF6" s="10"/>
    </row>
    <row r="7" spans="1:34" x14ac:dyDescent="0.25">
      <c r="A7" s="2" t="s">
        <v>31</v>
      </c>
      <c r="B7" s="21"/>
      <c r="C7" s="6" t="s">
        <v>210</v>
      </c>
      <c r="D7" s="24" t="s">
        <v>20</v>
      </c>
      <c r="E7" s="24" t="s">
        <v>211</v>
      </c>
      <c r="F7" s="6" t="s">
        <v>34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34</v>
      </c>
      <c r="M7" s="6" t="s">
        <v>9</v>
      </c>
      <c r="N7" s="6" t="s">
        <v>9</v>
      </c>
      <c r="O7" s="30">
        <f t="shared" si="0"/>
        <v>2</v>
      </c>
      <c r="P7" s="6" t="s">
        <v>16</v>
      </c>
      <c r="Q7" s="6" t="s">
        <v>16</v>
      </c>
      <c r="R7" s="6" t="s">
        <v>16</v>
      </c>
      <c r="S7" s="43" t="s">
        <v>9</v>
      </c>
      <c r="T7" s="6" t="s">
        <v>9</v>
      </c>
      <c r="U7" s="30">
        <f t="shared" si="1"/>
        <v>2</v>
      </c>
      <c r="V7" s="6" t="s">
        <v>9</v>
      </c>
      <c r="W7" s="8" t="s">
        <v>16</v>
      </c>
      <c r="X7" s="8" t="s">
        <v>16</v>
      </c>
      <c r="Y7" s="8" t="s">
        <v>16</v>
      </c>
      <c r="Z7" s="6" t="s">
        <v>9</v>
      </c>
      <c r="AA7" s="6" t="s">
        <v>16</v>
      </c>
      <c r="AB7" s="6" t="s">
        <v>9</v>
      </c>
      <c r="AD7" s="30">
        <f t="shared" si="2"/>
        <v>3</v>
      </c>
      <c r="AE7" s="38" t="s">
        <v>17</v>
      </c>
      <c r="AF7" s="10"/>
      <c r="AG7" s="2" t="s">
        <v>32</v>
      </c>
    </row>
    <row r="8" spans="1:34" x14ac:dyDescent="0.25">
      <c r="A8" s="2" t="s">
        <v>213</v>
      </c>
      <c r="B8" s="21"/>
      <c r="C8" s="6" t="s">
        <v>210</v>
      </c>
      <c r="D8" s="24" t="s">
        <v>20</v>
      </c>
      <c r="E8" s="24" t="s">
        <v>211</v>
      </c>
      <c r="F8" s="43" t="s">
        <v>34</v>
      </c>
      <c r="G8" s="43" t="s">
        <v>34</v>
      </c>
      <c r="H8" s="43" t="s">
        <v>34</v>
      </c>
      <c r="I8" s="43" t="s">
        <v>34</v>
      </c>
      <c r="J8" s="43" t="s">
        <v>34</v>
      </c>
      <c r="K8" s="43" t="s">
        <v>34</v>
      </c>
      <c r="L8" s="43" t="s">
        <v>34</v>
      </c>
      <c r="M8" s="43" t="s">
        <v>34</v>
      </c>
      <c r="N8" s="43" t="s">
        <v>34</v>
      </c>
      <c r="O8" s="30">
        <f t="shared" si="0"/>
        <v>0</v>
      </c>
      <c r="P8" s="43" t="s">
        <v>34</v>
      </c>
      <c r="Q8" s="43" t="s">
        <v>34</v>
      </c>
      <c r="R8" s="43" t="s">
        <v>34</v>
      </c>
      <c r="S8" s="43" t="s">
        <v>34</v>
      </c>
      <c r="T8" s="6" t="s">
        <v>9</v>
      </c>
      <c r="U8" s="30">
        <f t="shared" si="1"/>
        <v>1</v>
      </c>
      <c r="V8" s="43" t="s">
        <v>9</v>
      </c>
      <c r="W8" s="43" t="s">
        <v>9</v>
      </c>
      <c r="X8" s="43" t="s">
        <v>9</v>
      </c>
      <c r="Y8" s="43" t="s">
        <v>9</v>
      </c>
      <c r="Z8" s="43" t="s">
        <v>9</v>
      </c>
      <c r="AA8" s="43" t="s">
        <v>9</v>
      </c>
      <c r="AB8" s="43" t="s">
        <v>9</v>
      </c>
      <c r="AC8" s="43"/>
      <c r="AD8" s="30">
        <f t="shared" si="2"/>
        <v>7</v>
      </c>
      <c r="AE8" s="21"/>
    </row>
    <row r="9" spans="1:34" x14ac:dyDescent="0.25">
      <c r="A9" s="2" t="s">
        <v>41</v>
      </c>
      <c r="B9" s="21">
        <v>85988249154</v>
      </c>
      <c r="C9" s="6" t="s">
        <v>210</v>
      </c>
      <c r="D9" s="24" t="s">
        <v>20</v>
      </c>
      <c r="E9" s="24" t="s">
        <v>211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9</v>
      </c>
      <c r="L9" s="6" t="s">
        <v>9</v>
      </c>
      <c r="M9" s="6" t="s">
        <v>9</v>
      </c>
      <c r="N9" s="6" t="s">
        <v>16</v>
      </c>
      <c r="O9" s="30">
        <f t="shared" si="0"/>
        <v>3</v>
      </c>
      <c r="P9" s="6" t="s">
        <v>16</v>
      </c>
      <c r="Q9" s="6" t="s">
        <v>9</v>
      </c>
      <c r="R9" s="6" t="s">
        <v>16</v>
      </c>
      <c r="S9" s="43" t="s">
        <v>9</v>
      </c>
      <c r="T9" s="6" t="s">
        <v>9</v>
      </c>
      <c r="U9" s="30">
        <f t="shared" si="1"/>
        <v>3</v>
      </c>
      <c r="V9" s="6" t="s">
        <v>9</v>
      </c>
      <c r="W9" s="6" t="s">
        <v>16</v>
      </c>
      <c r="X9" s="6" t="s">
        <v>9</v>
      </c>
      <c r="Y9" s="6" t="s">
        <v>9</v>
      </c>
      <c r="Z9" s="6" t="s">
        <v>23</v>
      </c>
      <c r="AA9" s="6" t="s">
        <v>9</v>
      </c>
      <c r="AB9" s="6" t="s">
        <v>16</v>
      </c>
      <c r="AD9" s="30">
        <f t="shared" si="2"/>
        <v>4</v>
      </c>
      <c r="AE9" s="21"/>
      <c r="AF9" s="10" t="s">
        <v>173</v>
      </c>
    </row>
    <row r="10" spans="1:34" x14ac:dyDescent="0.25">
      <c r="A10" s="2" t="s">
        <v>51</v>
      </c>
      <c r="B10" s="21"/>
      <c r="C10" s="6" t="s">
        <v>210</v>
      </c>
      <c r="D10" s="24" t="s">
        <v>20</v>
      </c>
      <c r="E10" s="24" t="s">
        <v>211</v>
      </c>
      <c r="F10" s="6" t="s">
        <v>34</v>
      </c>
      <c r="G10" s="6" t="s">
        <v>34</v>
      </c>
      <c r="H10" s="6" t="s">
        <v>34</v>
      </c>
      <c r="I10" s="6" t="s">
        <v>34</v>
      </c>
      <c r="J10" s="6" t="s">
        <v>34</v>
      </c>
      <c r="K10" s="6" t="s">
        <v>34</v>
      </c>
      <c r="L10" s="6" t="s">
        <v>34</v>
      </c>
      <c r="M10" s="6" t="s">
        <v>34</v>
      </c>
      <c r="N10" s="6" t="s">
        <v>34</v>
      </c>
      <c r="O10" s="30">
        <f t="shared" si="0"/>
        <v>0</v>
      </c>
      <c r="P10" s="6" t="s">
        <v>34</v>
      </c>
      <c r="Q10" s="6" t="s">
        <v>16</v>
      </c>
      <c r="R10" s="6" t="s">
        <v>16</v>
      </c>
      <c r="S10" s="43" t="s">
        <v>16</v>
      </c>
      <c r="T10" s="6" t="s">
        <v>16</v>
      </c>
      <c r="U10" s="30">
        <f t="shared" si="1"/>
        <v>0</v>
      </c>
      <c r="V10" s="6" t="s">
        <v>9</v>
      </c>
      <c r="W10" s="6" t="s">
        <v>9</v>
      </c>
      <c r="X10" s="6" t="s">
        <v>16</v>
      </c>
      <c r="Y10" s="6" t="s">
        <v>9</v>
      </c>
      <c r="Z10" s="6" t="s">
        <v>9</v>
      </c>
      <c r="AA10" s="6" t="s">
        <v>16</v>
      </c>
      <c r="AB10" s="6" t="s">
        <v>9</v>
      </c>
      <c r="AD10" s="30">
        <f t="shared" si="2"/>
        <v>5</v>
      </c>
      <c r="AE10" s="21" t="s">
        <v>17</v>
      </c>
      <c r="AG10" s="2" t="s">
        <v>32</v>
      </c>
    </row>
    <row r="11" spans="1:34" x14ac:dyDescent="0.25">
      <c r="A11" s="2" t="s">
        <v>54</v>
      </c>
      <c r="B11" s="21">
        <v>85988654528</v>
      </c>
      <c r="C11" s="6" t="s">
        <v>210</v>
      </c>
      <c r="D11" s="24" t="s">
        <v>20</v>
      </c>
      <c r="E11" s="24" t="s">
        <v>211</v>
      </c>
      <c r="F11" s="6" t="s">
        <v>34</v>
      </c>
      <c r="G11" s="6" t="s">
        <v>34</v>
      </c>
      <c r="H11" s="6" t="s">
        <v>34</v>
      </c>
      <c r="I11" s="6" t="s">
        <v>34</v>
      </c>
      <c r="J11" s="6" t="s">
        <v>34</v>
      </c>
      <c r="K11" s="6" t="s">
        <v>34</v>
      </c>
      <c r="L11" s="6" t="s">
        <v>34</v>
      </c>
      <c r="M11" s="6" t="s">
        <v>9</v>
      </c>
      <c r="N11" s="6" t="s">
        <v>9</v>
      </c>
      <c r="O11" s="30">
        <f t="shared" si="0"/>
        <v>2</v>
      </c>
      <c r="P11" s="6" t="s">
        <v>9</v>
      </c>
      <c r="Q11" s="6" t="s">
        <v>9</v>
      </c>
      <c r="R11" s="6" t="s">
        <v>9</v>
      </c>
      <c r="S11" s="43" t="s">
        <v>9</v>
      </c>
      <c r="T11" s="6" t="s">
        <v>16</v>
      </c>
      <c r="U11" s="30">
        <f t="shared" si="1"/>
        <v>4</v>
      </c>
      <c r="V11" s="6" t="s">
        <v>23</v>
      </c>
      <c r="W11" s="6" t="s">
        <v>23</v>
      </c>
      <c r="X11" s="6" t="s">
        <v>9</v>
      </c>
      <c r="Y11" s="6" t="s">
        <v>16</v>
      </c>
      <c r="Z11" s="6" t="s">
        <v>16</v>
      </c>
      <c r="AA11" s="6" t="s">
        <v>16</v>
      </c>
      <c r="AB11" s="6" t="s">
        <v>16</v>
      </c>
      <c r="AD11" s="30">
        <f t="shared" si="2"/>
        <v>1</v>
      </c>
      <c r="AE11" s="21"/>
      <c r="AF11" s="12"/>
    </row>
    <row r="12" spans="1:34" x14ac:dyDescent="0.25">
      <c r="A12" s="2" t="s">
        <v>214</v>
      </c>
      <c r="B12" s="21">
        <v>85991146891</v>
      </c>
      <c r="C12" s="6" t="s">
        <v>210</v>
      </c>
      <c r="D12" s="24" t="s">
        <v>20</v>
      </c>
      <c r="E12" s="24" t="s">
        <v>211</v>
      </c>
      <c r="F12" s="6" t="s">
        <v>9</v>
      </c>
      <c r="G12" s="6" t="s">
        <v>9</v>
      </c>
      <c r="H12" s="6" t="s">
        <v>9</v>
      </c>
      <c r="I12" s="6" t="s">
        <v>9</v>
      </c>
      <c r="J12" s="6" t="s">
        <v>9</v>
      </c>
      <c r="K12" s="6" t="s">
        <v>9</v>
      </c>
      <c r="L12" s="6" t="s">
        <v>9</v>
      </c>
      <c r="M12" s="6" t="s">
        <v>9</v>
      </c>
      <c r="N12" s="6" t="s">
        <v>9</v>
      </c>
      <c r="O12" s="30">
        <f t="shared" si="0"/>
        <v>9</v>
      </c>
      <c r="P12" s="6" t="s">
        <v>9</v>
      </c>
      <c r="Q12" s="6" t="s">
        <v>9</v>
      </c>
      <c r="R12" s="6" t="s">
        <v>9</v>
      </c>
      <c r="S12" s="43" t="s">
        <v>9</v>
      </c>
      <c r="T12" s="6" t="s">
        <v>9</v>
      </c>
      <c r="U12" s="30">
        <f t="shared" si="1"/>
        <v>5</v>
      </c>
      <c r="V12" s="6" t="s">
        <v>9</v>
      </c>
      <c r="W12" s="6" t="s">
        <v>9</v>
      </c>
      <c r="X12" s="6" t="s">
        <v>9</v>
      </c>
      <c r="Y12" s="6" t="s">
        <v>9</v>
      </c>
      <c r="Z12" s="6" t="s">
        <v>9</v>
      </c>
      <c r="AA12" s="6" t="s">
        <v>9</v>
      </c>
      <c r="AB12" s="6" t="s">
        <v>9</v>
      </c>
      <c r="AD12" s="30">
        <f t="shared" si="2"/>
        <v>7</v>
      </c>
      <c r="AE12" s="21"/>
      <c r="AF12" s="14" t="s">
        <v>171</v>
      </c>
      <c r="AH12" s="2" t="s">
        <v>35</v>
      </c>
    </row>
    <row r="13" spans="1:34" x14ac:dyDescent="0.25">
      <c r="A13" s="2" t="s">
        <v>58</v>
      </c>
      <c r="B13" s="21">
        <v>85992610601</v>
      </c>
      <c r="C13" s="6" t="s">
        <v>210</v>
      </c>
      <c r="D13" s="24" t="s">
        <v>20</v>
      </c>
      <c r="E13" s="24" t="s">
        <v>211</v>
      </c>
      <c r="F13" s="6" t="s">
        <v>9</v>
      </c>
      <c r="G13" s="6" t="s">
        <v>9</v>
      </c>
      <c r="H13" s="6" t="s">
        <v>9</v>
      </c>
      <c r="I13" s="6" t="s">
        <v>9</v>
      </c>
      <c r="J13" s="6" t="s">
        <v>9</v>
      </c>
      <c r="K13" s="6" t="s">
        <v>9</v>
      </c>
      <c r="L13" s="6" t="s">
        <v>9</v>
      </c>
      <c r="M13" s="6" t="s">
        <v>9</v>
      </c>
      <c r="N13" s="6" t="s">
        <v>9</v>
      </c>
      <c r="O13" s="30">
        <f t="shared" si="0"/>
        <v>9</v>
      </c>
      <c r="P13" s="6" t="s">
        <v>16</v>
      </c>
      <c r="Q13" s="6" t="s">
        <v>9</v>
      </c>
      <c r="R13" s="6" t="s">
        <v>9</v>
      </c>
      <c r="S13" s="43" t="s">
        <v>9</v>
      </c>
      <c r="T13" s="6" t="s">
        <v>9</v>
      </c>
      <c r="U13" s="30">
        <f t="shared" si="1"/>
        <v>4</v>
      </c>
      <c r="V13" s="6" t="s">
        <v>9</v>
      </c>
      <c r="W13" s="6" t="s">
        <v>9</v>
      </c>
      <c r="X13" s="6" t="s">
        <v>9</v>
      </c>
      <c r="Y13" s="6" t="s">
        <v>9</v>
      </c>
      <c r="Z13" s="6" t="s">
        <v>9</v>
      </c>
      <c r="AA13" s="6" t="s">
        <v>9</v>
      </c>
      <c r="AB13" s="6" t="s">
        <v>9</v>
      </c>
      <c r="AD13" s="30">
        <f t="shared" si="2"/>
        <v>7</v>
      </c>
      <c r="AE13" s="21"/>
      <c r="AF13" s="14" t="s">
        <v>171</v>
      </c>
    </row>
    <row r="14" spans="1:34" x14ac:dyDescent="0.25">
      <c r="A14" s="2" t="s">
        <v>59</v>
      </c>
      <c r="B14" s="21">
        <v>85988244210</v>
      </c>
      <c r="C14" s="6" t="s">
        <v>210</v>
      </c>
      <c r="D14" s="24" t="s">
        <v>20</v>
      </c>
      <c r="E14" s="24" t="s">
        <v>211</v>
      </c>
      <c r="F14" s="6" t="s">
        <v>34</v>
      </c>
      <c r="G14" s="6" t="s">
        <v>34</v>
      </c>
      <c r="H14" s="6" t="s">
        <v>34</v>
      </c>
      <c r="I14" s="6" t="s">
        <v>34</v>
      </c>
      <c r="J14" s="6" t="s">
        <v>34</v>
      </c>
      <c r="K14" s="6" t="s">
        <v>34</v>
      </c>
      <c r="L14" s="6" t="s">
        <v>34</v>
      </c>
      <c r="M14" s="6" t="s">
        <v>34</v>
      </c>
      <c r="N14" s="6" t="s">
        <v>34</v>
      </c>
      <c r="O14" s="30">
        <f t="shared" si="0"/>
        <v>0</v>
      </c>
      <c r="P14" s="6" t="s">
        <v>9</v>
      </c>
      <c r="Q14" s="6" t="s">
        <v>9</v>
      </c>
      <c r="R14" s="6" t="s">
        <v>9</v>
      </c>
      <c r="S14" s="43" t="s">
        <v>9</v>
      </c>
      <c r="T14" s="6" t="s">
        <v>9</v>
      </c>
      <c r="U14" s="30">
        <f t="shared" si="1"/>
        <v>5</v>
      </c>
      <c r="V14" s="6" t="s">
        <v>9</v>
      </c>
      <c r="W14" s="6" t="s">
        <v>9</v>
      </c>
      <c r="X14" s="6" t="s">
        <v>9</v>
      </c>
      <c r="Y14" s="6" t="s">
        <v>9</v>
      </c>
      <c r="Z14" s="6" t="s">
        <v>9</v>
      </c>
      <c r="AA14" s="6" t="s">
        <v>9</v>
      </c>
      <c r="AB14" s="6" t="s">
        <v>9</v>
      </c>
      <c r="AD14" s="30">
        <f t="shared" si="2"/>
        <v>7</v>
      </c>
      <c r="AE14" s="21"/>
      <c r="AF14" s="14"/>
    </row>
    <row r="15" spans="1:34" x14ac:dyDescent="0.25">
      <c r="A15" s="2" t="s">
        <v>61</v>
      </c>
      <c r="B15" s="21">
        <v>8598736547</v>
      </c>
      <c r="C15" s="6" t="s">
        <v>210</v>
      </c>
      <c r="D15" s="24" t="s">
        <v>20</v>
      </c>
      <c r="E15" s="24" t="s">
        <v>211</v>
      </c>
      <c r="F15" s="6" t="s">
        <v>34</v>
      </c>
      <c r="G15" s="6" t="s">
        <v>34</v>
      </c>
      <c r="H15" s="6" t="s">
        <v>34</v>
      </c>
      <c r="I15" s="6" t="s">
        <v>34</v>
      </c>
      <c r="J15" s="6" t="s">
        <v>34</v>
      </c>
      <c r="K15" s="6" t="s">
        <v>34</v>
      </c>
      <c r="L15" s="6" t="s">
        <v>34</v>
      </c>
      <c r="M15" s="6" t="s">
        <v>34</v>
      </c>
      <c r="N15" s="6" t="s">
        <v>9</v>
      </c>
      <c r="O15" s="30">
        <f t="shared" si="0"/>
        <v>1</v>
      </c>
      <c r="P15" s="6" t="s">
        <v>9</v>
      </c>
      <c r="Q15" s="6" t="s">
        <v>9</v>
      </c>
      <c r="R15" s="6" t="s">
        <v>9</v>
      </c>
      <c r="S15" s="43" t="s">
        <v>9</v>
      </c>
      <c r="T15" s="6" t="s">
        <v>9</v>
      </c>
      <c r="U15" s="30">
        <f t="shared" si="1"/>
        <v>5</v>
      </c>
      <c r="V15" s="6" t="s">
        <v>9</v>
      </c>
      <c r="W15" s="6" t="s">
        <v>9</v>
      </c>
      <c r="X15" s="6" t="s">
        <v>9</v>
      </c>
      <c r="Y15" s="6" t="s">
        <v>9</v>
      </c>
      <c r="Z15" s="6" t="s">
        <v>9</v>
      </c>
      <c r="AA15" s="6" t="s">
        <v>9</v>
      </c>
      <c r="AB15" s="6" t="s">
        <v>16</v>
      </c>
      <c r="AD15" s="30">
        <f t="shared" si="2"/>
        <v>6</v>
      </c>
      <c r="AE15" s="21"/>
      <c r="AF15" s="10"/>
    </row>
    <row r="16" spans="1:34" x14ac:dyDescent="0.25">
      <c r="A16" s="2" t="s">
        <v>62</v>
      </c>
      <c r="B16" s="21">
        <v>85992106623</v>
      </c>
      <c r="C16" s="6" t="s">
        <v>210</v>
      </c>
      <c r="D16" s="24" t="s">
        <v>20</v>
      </c>
      <c r="E16" s="24" t="s">
        <v>211</v>
      </c>
      <c r="F16" s="6" t="s">
        <v>9</v>
      </c>
      <c r="G16" s="6" t="s">
        <v>16</v>
      </c>
      <c r="H16" s="6" t="s">
        <v>16</v>
      </c>
      <c r="I16" s="6" t="s">
        <v>16</v>
      </c>
      <c r="J16" s="6" t="s">
        <v>16</v>
      </c>
      <c r="K16" s="6" t="s">
        <v>16</v>
      </c>
      <c r="L16" s="6" t="s">
        <v>16</v>
      </c>
      <c r="M16" s="6" t="s">
        <v>16</v>
      </c>
      <c r="N16" s="6" t="s">
        <v>16</v>
      </c>
      <c r="O16" s="30">
        <f t="shared" si="0"/>
        <v>1</v>
      </c>
      <c r="P16" s="6" t="s">
        <v>9</v>
      </c>
      <c r="Q16" s="6" t="s">
        <v>9</v>
      </c>
      <c r="R16" s="6" t="s">
        <v>16</v>
      </c>
      <c r="S16" s="43" t="s">
        <v>9</v>
      </c>
      <c r="T16" s="6" t="s">
        <v>9</v>
      </c>
      <c r="U16" s="30">
        <f t="shared" si="1"/>
        <v>4</v>
      </c>
      <c r="V16" s="6" t="s">
        <v>16</v>
      </c>
      <c r="W16" s="6" t="s">
        <v>9</v>
      </c>
      <c r="X16" s="6" t="s">
        <v>16</v>
      </c>
      <c r="Y16" s="6" t="s">
        <v>16</v>
      </c>
      <c r="Z16" s="6" t="s">
        <v>9</v>
      </c>
      <c r="AA16" s="6" t="s">
        <v>23</v>
      </c>
      <c r="AB16" s="6" t="s">
        <v>16</v>
      </c>
      <c r="AD16" s="30">
        <f t="shared" si="2"/>
        <v>2</v>
      </c>
      <c r="AE16" s="21"/>
      <c r="AF16" s="14" t="s">
        <v>171</v>
      </c>
    </row>
    <row r="17" spans="1:33" x14ac:dyDescent="0.25">
      <c r="A17" s="2" t="s">
        <v>63</v>
      </c>
      <c r="B17" s="21">
        <v>85999382647</v>
      </c>
      <c r="C17" s="6" t="s">
        <v>210</v>
      </c>
      <c r="D17" s="24" t="s">
        <v>20</v>
      </c>
      <c r="E17" s="24" t="s">
        <v>211</v>
      </c>
      <c r="F17" s="6" t="s">
        <v>9</v>
      </c>
      <c r="G17" s="6" t="s">
        <v>9</v>
      </c>
      <c r="H17" s="6" t="s">
        <v>9</v>
      </c>
      <c r="I17" s="6" t="s">
        <v>9</v>
      </c>
      <c r="J17" s="6" t="s">
        <v>9</v>
      </c>
      <c r="K17" s="6" t="s">
        <v>9</v>
      </c>
      <c r="L17" s="6" t="s">
        <v>9</v>
      </c>
      <c r="M17" s="6" t="s">
        <v>9</v>
      </c>
      <c r="N17" s="6" t="s">
        <v>9</v>
      </c>
      <c r="O17" s="30">
        <f t="shared" si="0"/>
        <v>9</v>
      </c>
      <c r="P17" s="6" t="s">
        <v>9</v>
      </c>
      <c r="Q17" s="6" t="s">
        <v>9</v>
      </c>
      <c r="R17" s="6" t="s">
        <v>9</v>
      </c>
      <c r="S17" s="43" t="s">
        <v>9</v>
      </c>
      <c r="T17" s="6" t="s">
        <v>9</v>
      </c>
      <c r="U17" s="30">
        <f t="shared" si="1"/>
        <v>5</v>
      </c>
      <c r="V17" s="6" t="s">
        <v>9</v>
      </c>
      <c r="W17" s="6" t="s">
        <v>9</v>
      </c>
      <c r="X17" s="6" t="s">
        <v>9</v>
      </c>
      <c r="Y17" s="6" t="s">
        <v>16</v>
      </c>
      <c r="Z17" s="6" t="s">
        <v>23</v>
      </c>
      <c r="AA17" s="6" t="s">
        <v>9</v>
      </c>
      <c r="AD17" s="30">
        <f t="shared" si="2"/>
        <v>4</v>
      </c>
      <c r="AE17" s="21"/>
      <c r="AF17" s="14" t="s">
        <v>171</v>
      </c>
    </row>
    <row r="18" spans="1:33" x14ac:dyDescent="0.25">
      <c r="A18" s="2" t="s">
        <v>66</v>
      </c>
      <c r="B18" s="21"/>
      <c r="C18" s="6" t="s">
        <v>210</v>
      </c>
      <c r="D18" s="24" t="s">
        <v>20</v>
      </c>
      <c r="E18" s="24" t="s">
        <v>211</v>
      </c>
      <c r="F18" s="6" t="s">
        <v>9</v>
      </c>
      <c r="G18" s="6" t="s">
        <v>9</v>
      </c>
      <c r="H18" s="6" t="s">
        <v>9</v>
      </c>
      <c r="I18" s="6" t="s">
        <v>9</v>
      </c>
      <c r="J18" s="6" t="s">
        <v>9</v>
      </c>
      <c r="K18" s="6" t="s">
        <v>9</v>
      </c>
      <c r="L18" s="6" t="s">
        <v>16</v>
      </c>
      <c r="M18" s="6" t="s">
        <v>16</v>
      </c>
      <c r="N18" s="6" t="s">
        <v>9</v>
      </c>
      <c r="O18" s="30">
        <f t="shared" si="0"/>
        <v>7</v>
      </c>
      <c r="P18" s="6" t="s">
        <v>16</v>
      </c>
      <c r="Q18" s="6" t="s">
        <v>16</v>
      </c>
      <c r="R18" s="6" t="s">
        <v>9</v>
      </c>
      <c r="S18" s="43" t="s">
        <v>9</v>
      </c>
      <c r="T18" s="6" t="s">
        <v>9</v>
      </c>
      <c r="U18" s="30">
        <f t="shared" si="1"/>
        <v>3</v>
      </c>
      <c r="V18" s="6" t="s">
        <v>9</v>
      </c>
      <c r="W18" s="6" t="s">
        <v>9</v>
      </c>
      <c r="X18" s="6" t="s">
        <v>9</v>
      </c>
      <c r="Y18" s="6" t="s">
        <v>16</v>
      </c>
      <c r="Z18" s="6" t="s">
        <v>23</v>
      </c>
      <c r="AA18" s="6" t="s">
        <v>9</v>
      </c>
      <c r="AB18" s="6" t="s">
        <v>9</v>
      </c>
      <c r="AD18" s="30">
        <f t="shared" si="2"/>
        <v>5</v>
      </c>
      <c r="AE18" s="38" t="s">
        <v>17</v>
      </c>
      <c r="AF18" s="14" t="s">
        <v>171</v>
      </c>
      <c r="AG18" s="2" t="s">
        <v>32</v>
      </c>
    </row>
    <row r="19" spans="1:33" x14ac:dyDescent="0.25">
      <c r="A19" s="2" t="s">
        <v>67</v>
      </c>
      <c r="B19" s="21">
        <v>85992190726</v>
      </c>
      <c r="C19" s="6" t="s">
        <v>210</v>
      </c>
      <c r="D19" s="24" t="s">
        <v>20</v>
      </c>
      <c r="E19" s="24" t="s">
        <v>211</v>
      </c>
      <c r="F19" s="6" t="s">
        <v>9</v>
      </c>
      <c r="G19" s="6" t="s">
        <v>16</v>
      </c>
      <c r="H19" s="6" t="s">
        <v>16</v>
      </c>
      <c r="I19" s="6" t="s">
        <v>16</v>
      </c>
      <c r="J19" s="6" t="s">
        <v>16</v>
      </c>
      <c r="K19" s="6" t="s">
        <v>9</v>
      </c>
      <c r="L19" s="6" t="s">
        <v>9</v>
      </c>
      <c r="M19" s="6" t="s">
        <v>9</v>
      </c>
      <c r="N19" s="6" t="s">
        <v>9</v>
      </c>
      <c r="O19" s="30">
        <f t="shared" si="0"/>
        <v>5</v>
      </c>
      <c r="P19" s="6" t="s">
        <v>16</v>
      </c>
      <c r="Q19" s="6" t="s">
        <v>9</v>
      </c>
      <c r="R19" s="6" t="s">
        <v>9</v>
      </c>
      <c r="S19" s="43" t="s">
        <v>9</v>
      </c>
      <c r="T19" s="6" t="s">
        <v>9</v>
      </c>
      <c r="U19" s="30">
        <f t="shared" si="1"/>
        <v>4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6" t="s">
        <v>9</v>
      </c>
      <c r="AB19" s="6" t="s">
        <v>9</v>
      </c>
      <c r="AD19" s="30">
        <f t="shared" si="2"/>
        <v>7</v>
      </c>
      <c r="AE19" s="21"/>
      <c r="AF19" s="14" t="s">
        <v>171</v>
      </c>
    </row>
    <row r="20" spans="1:33" x14ac:dyDescent="0.25">
      <c r="A20" s="2" t="s">
        <v>68</v>
      </c>
      <c r="B20" s="21">
        <v>85996299781</v>
      </c>
      <c r="C20" s="6" t="s">
        <v>210</v>
      </c>
      <c r="D20" s="24" t="s">
        <v>20</v>
      </c>
      <c r="E20" s="24" t="s">
        <v>211</v>
      </c>
      <c r="F20" s="6" t="s">
        <v>16</v>
      </c>
      <c r="G20" s="6" t="s">
        <v>9</v>
      </c>
      <c r="H20" s="6" t="s">
        <v>9</v>
      </c>
      <c r="I20" s="6" t="s">
        <v>9</v>
      </c>
      <c r="J20" s="6" t="s">
        <v>9</v>
      </c>
      <c r="K20" s="6" t="s">
        <v>9</v>
      </c>
      <c r="L20" s="6" t="s">
        <v>9</v>
      </c>
      <c r="M20" s="6" t="s">
        <v>16</v>
      </c>
      <c r="N20" s="6" t="s">
        <v>9</v>
      </c>
      <c r="O20" s="30">
        <f t="shared" si="0"/>
        <v>7</v>
      </c>
      <c r="P20" s="6" t="s">
        <v>9</v>
      </c>
      <c r="Q20" s="6" t="s">
        <v>16</v>
      </c>
      <c r="R20" s="6" t="s">
        <v>23</v>
      </c>
      <c r="S20" s="43" t="s">
        <v>9</v>
      </c>
      <c r="T20" s="6" t="s">
        <v>9</v>
      </c>
      <c r="U20" s="30">
        <f t="shared" si="1"/>
        <v>3</v>
      </c>
      <c r="V20" s="6" t="s">
        <v>9</v>
      </c>
      <c r="W20" s="6" t="s">
        <v>9</v>
      </c>
      <c r="X20" s="6" t="s">
        <v>9</v>
      </c>
      <c r="Y20" s="6" t="s">
        <v>9</v>
      </c>
      <c r="Z20" s="6" t="s">
        <v>16</v>
      </c>
      <c r="AA20" s="6" t="s">
        <v>9</v>
      </c>
      <c r="AB20" s="6" t="s">
        <v>23</v>
      </c>
      <c r="AD20" s="30">
        <f t="shared" si="2"/>
        <v>5</v>
      </c>
      <c r="AE20" s="39" t="s">
        <v>21</v>
      </c>
      <c r="AF20" s="14" t="s">
        <v>170</v>
      </c>
      <c r="AG20" s="2" t="s">
        <v>69</v>
      </c>
    </row>
    <row r="21" spans="1:33" x14ac:dyDescent="0.25">
      <c r="A21" s="2" t="s">
        <v>70</v>
      </c>
      <c r="B21" s="21">
        <v>85994354818</v>
      </c>
      <c r="C21" s="6" t="s">
        <v>210</v>
      </c>
      <c r="D21" s="24" t="s">
        <v>20</v>
      </c>
      <c r="E21" s="24" t="s">
        <v>211</v>
      </c>
      <c r="F21" s="6" t="s">
        <v>34</v>
      </c>
      <c r="G21" s="6" t="s">
        <v>34</v>
      </c>
      <c r="H21" s="6" t="s">
        <v>34</v>
      </c>
      <c r="I21" s="6" t="s">
        <v>34</v>
      </c>
      <c r="J21" s="6" t="s">
        <v>34</v>
      </c>
      <c r="K21" s="6" t="s">
        <v>34</v>
      </c>
      <c r="L21" s="6" t="s">
        <v>34</v>
      </c>
      <c r="M21" s="6" t="s">
        <v>34</v>
      </c>
      <c r="N21" s="6" t="s">
        <v>34</v>
      </c>
      <c r="O21" s="30">
        <f t="shared" si="0"/>
        <v>0</v>
      </c>
      <c r="P21" s="6" t="s">
        <v>9</v>
      </c>
      <c r="Q21" s="6" t="s">
        <v>9</v>
      </c>
      <c r="R21" s="6" t="s">
        <v>9</v>
      </c>
      <c r="S21" s="43" t="s">
        <v>9</v>
      </c>
      <c r="T21" s="6" t="s">
        <v>9</v>
      </c>
      <c r="U21" s="30">
        <f t="shared" si="1"/>
        <v>5</v>
      </c>
      <c r="V21" s="6" t="s">
        <v>9</v>
      </c>
      <c r="W21" s="6" t="s">
        <v>9</v>
      </c>
      <c r="X21" s="6" t="s">
        <v>16</v>
      </c>
      <c r="Y21" s="6" t="s">
        <v>9</v>
      </c>
      <c r="Z21" s="6" t="s">
        <v>16</v>
      </c>
      <c r="AA21" s="6" t="s">
        <v>9</v>
      </c>
      <c r="AD21" s="30">
        <f t="shared" si="2"/>
        <v>4</v>
      </c>
      <c r="AE21" s="21"/>
    </row>
    <row r="22" spans="1:33" x14ac:dyDescent="0.25">
      <c r="A22" s="2" t="s">
        <v>71</v>
      </c>
      <c r="B22" s="21">
        <v>85986791028</v>
      </c>
      <c r="C22" s="6" t="s">
        <v>210</v>
      </c>
      <c r="D22" s="24" t="s">
        <v>20</v>
      </c>
      <c r="E22" s="24" t="s">
        <v>211</v>
      </c>
      <c r="F22" s="6" t="s">
        <v>34</v>
      </c>
      <c r="G22" s="6" t="s">
        <v>34</v>
      </c>
      <c r="H22" s="6" t="s">
        <v>34</v>
      </c>
      <c r="I22" s="6" t="s">
        <v>34</v>
      </c>
      <c r="J22" s="6" t="s">
        <v>34</v>
      </c>
      <c r="K22" s="6" t="s">
        <v>34</v>
      </c>
      <c r="L22" s="6" t="s">
        <v>34</v>
      </c>
      <c r="M22" s="6" t="s">
        <v>34</v>
      </c>
      <c r="N22" s="6" t="s">
        <v>34</v>
      </c>
      <c r="O22" s="30">
        <f t="shared" si="0"/>
        <v>0</v>
      </c>
      <c r="P22" s="6" t="s">
        <v>34</v>
      </c>
      <c r="Q22" s="6" t="s">
        <v>34</v>
      </c>
      <c r="R22" s="6" t="s">
        <v>16</v>
      </c>
      <c r="S22" s="43" t="s">
        <v>9</v>
      </c>
      <c r="T22" s="6" t="s">
        <v>16</v>
      </c>
      <c r="U22" s="30">
        <f t="shared" si="1"/>
        <v>1</v>
      </c>
      <c r="V22" s="6" t="s">
        <v>9</v>
      </c>
      <c r="W22" s="6" t="s">
        <v>9</v>
      </c>
      <c r="X22" s="6" t="s">
        <v>9</v>
      </c>
      <c r="Y22" s="6" t="s">
        <v>9</v>
      </c>
      <c r="Z22" s="6" t="s">
        <v>16</v>
      </c>
      <c r="AA22" s="6" t="s">
        <v>9</v>
      </c>
      <c r="AD22" s="30">
        <f t="shared" si="2"/>
        <v>5</v>
      </c>
      <c r="AE22" s="38" t="s">
        <v>17</v>
      </c>
      <c r="AF22" s="15" t="s">
        <v>181</v>
      </c>
      <c r="AG22" s="2" t="s">
        <v>18</v>
      </c>
    </row>
    <row r="23" spans="1:33" x14ac:dyDescent="0.25">
      <c r="A23" s="3" t="s">
        <v>72</v>
      </c>
      <c r="B23" s="21">
        <v>85992502845</v>
      </c>
      <c r="C23" s="6" t="s">
        <v>210</v>
      </c>
      <c r="D23" s="24" t="s">
        <v>20</v>
      </c>
      <c r="E23" s="24" t="s">
        <v>211</v>
      </c>
      <c r="F23" s="6" t="s">
        <v>9</v>
      </c>
      <c r="G23" s="6" t="s">
        <v>9</v>
      </c>
      <c r="H23" s="6" t="s">
        <v>9</v>
      </c>
      <c r="I23" s="6" t="s">
        <v>9</v>
      </c>
      <c r="J23" s="6" t="s">
        <v>9</v>
      </c>
      <c r="K23" s="6" t="s">
        <v>9</v>
      </c>
      <c r="L23" s="6" t="s">
        <v>9</v>
      </c>
      <c r="M23" s="6" t="s">
        <v>9</v>
      </c>
      <c r="N23" s="6" t="s">
        <v>9</v>
      </c>
      <c r="O23" s="30">
        <f t="shared" si="0"/>
        <v>9</v>
      </c>
      <c r="P23" s="6" t="s">
        <v>16</v>
      </c>
      <c r="Q23" s="6" t="s">
        <v>9</v>
      </c>
      <c r="R23" s="6" t="s">
        <v>9</v>
      </c>
      <c r="S23" s="43" t="s">
        <v>9</v>
      </c>
      <c r="T23" s="6" t="s">
        <v>9</v>
      </c>
      <c r="U23" s="30">
        <f t="shared" si="1"/>
        <v>4</v>
      </c>
      <c r="V23" s="6" t="s">
        <v>9</v>
      </c>
      <c r="W23" s="6" t="s">
        <v>9</v>
      </c>
      <c r="X23" s="6" t="s">
        <v>9</v>
      </c>
      <c r="Y23" s="6" t="s">
        <v>9</v>
      </c>
      <c r="Z23" s="6" t="s">
        <v>9</v>
      </c>
      <c r="AA23" s="6" t="s">
        <v>9</v>
      </c>
      <c r="AB23" s="6" t="s">
        <v>9</v>
      </c>
      <c r="AD23" s="30">
        <f t="shared" si="2"/>
        <v>7</v>
      </c>
      <c r="AE23" s="21"/>
      <c r="AF23" s="12" t="s">
        <v>173</v>
      </c>
    </row>
    <row r="24" spans="1:33" x14ac:dyDescent="0.25">
      <c r="A24" s="2" t="s">
        <v>75</v>
      </c>
      <c r="B24" s="21"/>
      <c r="C24" s="6" t="s">
        <v>210</v>
      </c>
      <c r="D24" s="24" t="s">
        <v>20</v>
      </c>
      <c r="E24" s="24" t="s">
        <v>211</v>
      </c>
      <c r="F24" s="6" t="s">
        <v>9</v>
      </c>
      <c r="G24" s="6" t="s">
        <v>16</v>
      </c>
      <c r="H24" s="6" t="s">
        <v>16</v>
      </c>
      <c r="I24" s="6" t="s">
        <v>16</v>
      </c>
      <c r="J24" s="6" t="s">
        <v>16</v>
      </c>
      <c r="K24" s="6" t="s">
        <v>16</v>
      </c>
      <c r="L24" s="6" t="s">
        <v>16</v>
      </c>
      <c r="M24" s="6" t="s">
        <v>16</v>
      </c>
      <c r="N24" s="6" t="s">
        <v>16</v>
      </c>
      <c r="O24" s="30">
        <f t="shared" si="0"/>
        <v>1</v>
      </c>
      <c r="P24" s="6" t="s">
        <v>16</v>
      </c>
      <c r="Q24" s="6" t="s">
        <v>16</v>
      </c>
      <c r="R24" s="6" t="s">
        <v>9</v>
      </c>
      <c r="S24" s="43" t="s">
        <v>9</v>
      </c>
      <c r="T24" s="6" t="s">
        <v>9</v>
      </c>
      <c r="U24" s="30">
        <f t="shared" si="1"/>
        <v>3</v>
      </c>
      <c r="V24" s="6" t="s">
        <v>9</v>
      </c>
      <c r="W24" s="6" t="s">
        <v>9</v>
      </c>
      <c r="X24" s="6" t="s">
        <v>9</v>
      </c>
      <c r="Y24" s="6" t="s">
        <v>9</v>
      </c>
      <c r="Z24" s="6" t="s">
        <v>9</v>
      </c>
      <c r="AA24" s="6" t="s">
        <v>16</v>
      </c>
      <c r="AB24" s="6" t="s">
        <v>9</v>
      </c>
      <c r="AD24" s="30">
        <f t="shared" si="2"/>
        <v>6</v>
      </c>
      <c r="AE24" s="38" t="s">
        <v>17</v>
      </c>
      <c r="AF24" s="13" t="s">
        <v>182</v>
      </c>
      <c r="AG24" s="2" t="s">
        <v>76</v>
      </c>
    </row>
    <row r="25" spans="1:33" x14ac:dyDescent="0.25">
      <c r="A25" s="2" t="s">
        <v>77</v>
      </c>
      <c r="B25" s="21"/>
      <c r="C25" s="6" t="s">
        <v>210</v>
      </c>
      <c r="D25" s="24" t="s">
        <v>20</v>
      </c>
      <c r="E25" s="24" t="s">
        <v>211</v>
      </c>
      <c r="F25" s="6" t="s">
        <v>9</v>
      </c>
      <c r="G25" s="6" t="s">
        <v>16</v>
      </c>
      <c r="H25" s="6" t="s">
        <v>16</v>
      </c>
      <c r="I25" s="6" t="s">
        <v>16</v>
      </c>
      <c r="J25" s="6" t="s">
        <v>16</v>
      </c>
      <c r="K25" s="6" t="s">
        <v>9</v>
      </c>
      <c r="L25" s="6" t="s">
        <v>9</v>
      </c>
      <c r="M25" s="6" t="s">
        <v>9</v>
      </c>
      <c r="N25" s="6" t="s">
        <v>9</v>
      </c>
      <c r="O25" s="30">
        <f t="shared" si="0"/>
        <v>5</v>
      </c>
      <c r="P25" s="6" t="s">
        <v>16</v>
      </c>
      <c r="Q25" s="6" t="s">
        <v>16</v>
      </c>
      <c r="R25" s="6" t="s">
        <v>23</v>
      </c>
      <c r="S25" s="43" t="s">
        <v>16</v>
      </c>
      <c r="T25" s="6" t="s">
        <v>9</v>
      </c>
      <c r="U25" s="30">
        <f t="shared" si="1"/>
        <v>1</v>
      </c>
      <c r="V25" s="6" t="s">
        <v>16</v>
      </c>
      <c r="W25" s="6" t="s">
        <v>16</v>
      </c>
      <c r="X25" s="6" t="s">
        <v>9</v>
      </c>
      <c r="Y25" s="6" t="s">
        <v>9</v>
      </c>
      <c r="Z25" s="6" t="s">
        <v>23</v>
      </c>
      <c r="AA25" s="6" t="s">
        <v>9</v>
      </c>
      <c r="AB25" s="6" t="s">
        <v>9</v>
      </c>
      <c r="AD25" s="30">
        <f t="shared" si="2"/>
        <v>4</v>
      </c>
      <c r="AE25" s="38" t="s">
        <v>17</v>
      </c>
      <c r="AF25" s="14" t="s">
        <v>171</v>
      </c>
      <c r="AG25" s="2" t="s">
        <v>32</v>
      </c>
    </row>
    <row r="26" spans="1:33" x14ac:dyDescent="0.25">
      <c r="A26" s="2" t="s">
        <v>215</v>
      </c>
      <c r="B26" s="21">
        <v>85992096112</v>
      </c>
      <c r="C26" s="6" t="s">
        <v>210</v>
      </c>
      <c r="D26" s="24" t="s">
        <v>20</v>
      </c>
      <c r="E26" s="24" t="s">
        <v>211</v>
      </c>
      <c r="F26" s="6" t="s">
        <v>9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9</v>
      </c>
      <c r="L26" s="6" t="s">
        <v>9</v>
      </c>
      <c r="M26" s="6" t="s">
        <v>9</v>
      </c>
      <c r="N26" s="6" t="s">
        <v>9</v>
      </c>
      <c r="O26" s="30">
        <f t="shared" si="0"/>
        <v>5</v>
      </c>
      <c r="P26" s="6" t="s">
        <v>9</v>
      </c>
      <c r="Q26" s="6" t="s">
        <v>16</v>
      </c>
      <c r="R26" s="6" t="s">
        <v>9</v>
      </c>
      <c r="S26" s="43" t="s">
        <v>9</v>
      </c>
      <c r="T26" s="6" t="s">
        <v>9</v>
      </c>
      <c r="U26" s="30">
        <f t="shared" si="1"/>
        <v>4</v>
      </c>
      <c r="V26" s="6" t="s">
        <v>9</v>
      </c>
      <c r="W26" s="6" t="s">
        <v>9</v>
      </c>
      <c r="X26" s="6" t="s">
        <v>9</v>
      </c>
      <c r="Y26" s="6" t="s">
        <v>9</v>
      </c>
      <c r="Z26" s="6" t="s">
        <v>16</v>
      </c>
      <c r="AA26" s="6" t="s">
        <v>9</v>
      </c>
      <c r="AB26" s="6" t="s">
        <v>9</v>
      </c>
      <c r="AD26" s="30">
        <f t="shared" si="2"/>
        <v>6</v>
      </c>
      <c r="AE26" s="39" t="s">
        <v>21</v>
      </c>
      <c r="AF26" s="12" t="s">
        <v>173</v>
      </c>
    </row>
    <row r="27" spans="1:33" x14ac:dyDescent="0.25">
      <c r="A27" s="2" t="s">
        <v>78</v>
      </c>
      <c r="B27" s="21"/>
      <c r="C27" s="6" t="s">
        <v>210</v>
      </c>
      <c r="D27" s="24" t="s">
        <v>20</v>
      </c>
      <c r="E27" s="24" t="s">
        <v>211</v>
      </c>
      <c r="F27" s="6" t="s">
        <v>9</v>
      </c>
      <c r="G27" s="6" t="s">
        <v>9</v>
      </c>
      <c r="H27" s="6" t="s">
        <v>9</v>
      </c>
      <c r="I27" s="6" t="s">
        <v>9</v>
      </c>
      <c r="J27" s="6" t="s">
        <v>9</v>
      </c>
      <c r="K27" s="6" t="s">
        <v>9</v>
      </c>
      <c r="L27" s="6" t="s">
        <v>9</v>
      </c>
      <c r="M27" s="6" t="s">
        <v>9</v>
      </c>
      <c r="N27" s="6" t="s">
        <v>9</v>
      </c>
      <c r="O27" s="30">
        <f t="shared" si="0"/>
        <v>9</v>
      </c>
      <c r="P27" s="6" t="s">
        <v>9</v>
      </c>
      <c r="Q27" s="6" t="s">
        <v>9</v>
      </c>
      <c r="R27" s="6" t="s">
        <v>9</v>
      </c>
      <c r="S27" s="43" t="s">
        <v>9</v>
      </c>
      <c r="T27" s="6" t="s">
        <v>9</v>
      </c>
      <c r="U27" s="30">
        <f t="shared" si="1"/>
        <v>5</v>
      </c>
      <c r="V27" s="6" t="s">
        <v>9</v>
      </c>
      <c r="W27" s="6" t="s">
        <v>23</v>
      </c>
      <c r="X27" s="6" t="s">
        <v>9</v>
      </c>
      <c r="Y27" s="6" t="s">
        <v>9</v>
      </c>
      <c r="Z27" s="6" t="s">
        <v>9</v>
      </c>
      <c r="AA27" s="6" t="s">
        <v>9</v>
      </c>
      <c r="AB27" s="6" t="s">
        <v>9</v>
      </c>
      <c r="AD27" s="30">
        <f t="shared" si="2"/>
        <v>6</v>
      </c>
      <c r="AE27" s="21"/>
      <c r="AF27" s="14" t="s">
        <v>171</v>
      </c>
      <c r="AG27" s="2" t="s">
        <v>79</v>
      </c>
    </row>
    <row r="28" spans="1:33" x14ac:dyDescent="0.25">
      <c r="A28" s="2" t="s">
        <v>82</v>
      </c>
      <c r="B28" s="21">
        <v>85986465995</v>
      </c>
      <c r="C28" s="6" t="s">
        <v>210</v>
      </c>
      <c r="D28" s="24" t="s">
        <v>20</v>
      </c>
      <c r="E28" s="24" t="s">
        <v>211</v>
      </c>
      <c r="F28" s="6" t="s">
        <v>34</v>
      </c>
      <c r="G28" s="6" t="s">
        <v>34</v>
      </c>
      <c r="H28" s="6" t="s">
        <v>34</v>
      </c>
      <c r="I28" s="6" t="s">
        <v>34</v>
      </c>
      <c r="J28" s="6" t="s">
        <v>34</v>
      </c>
      <c r="K28" s="6" t="s">
        <v>34</v>
      </c>
      <c r="L28" s="6" t="s">
        <v>34</v>
      </c>
      <c r="M28" s="6" t="s">
        <v>9</v>
      </c>
      <c r="N28" s="6" t="s">
        <v>34</v>
      </c>
      <c r="O28" s="30">
        <f t="shared" si="0"/>
        <v>1</v>
      </c>
      <c r="P28" s="6" t="s">
        <v>9</v>
      </c>
      <c r="Q28" s="6" t="s">
        <v>9</v>
      </c>
      <c r="R28" s="6" t="s">
        <v>9</v>
      </c>
      <c r="S28" s="43" t="s">
        <v>9</v>
      </c>
      <c r="T28" s="6" t="s">
        <v>9</v>
      </c>
      <c r="U28" s="30">
        <f t="shared" si="1"/>
        <v>5</v>
      </c>
      <c r="V28" s="6" t="s">
        <v>9</v>
      </c>
      <c r="W28" s="6" t="s">
        <v>9</v>
      </c>
      <c r="X28" s="6" t="s">
        <v>9</v>
      </c>
      <c r="Y28" s="6" t="s">
        <v>9</v>
      </c>
      <c r="Z28" s="6" t="s">
        <v>16</v>
      </c>
      <c r="AA28" s="6" t="s">
        <v>9</v>
      </c>
      <c r="AD28" s="30">
        <f t="shared" si="2"/>
        <v>5</v>
      </c>
      <c r="AE28" s="21"/>
      <c r="AF28" s="10"/>
    </row>
    <row r="29" spans="1:33" x14ac:dyDescent="0.25">
      <c r="A29" s="2" t="s">
        <v>86</v>
      </c>
      <c r="B29" s="21">
        <v>85991579502</v>
      </c>
      <c r="C29" s="6" t="s">
        <v>210</v>
      </c>
      <c r="D29" s="24" t="s">
        <v>20</v>
      </c>
      <c r="E29" s="24" t="s">
        <v>211</v>
      </c>
      <c r="F29" s="6" t="s">
        <v>34</v>
      </c>
      <c r="G29" s="6" t="s">
        <v>34</v>
      </c>
      <c r="H29" s="6" t="s">
        <v>34</v>
      </c>
      <c r="I29" s="6" t="s">
        <v>34</v>
      </c>
      <c r="J29" s="6" t="s">
        <v>34</v>
      </c>
      <c r="K29" s="6" t="s">
        <v>34</v>
      </c>
      <c r="L29" s="6" t="s">
        <v>34</v>
      </c>
      <c r="M29" s="6" t="s">
        <v>34</v>
      </c>
      <c r="N29" s="6" t="s">
        <v>34</v>
      </c>
      <c r="O29" s="30">
        <f t="shared" si="0"/>
        <v>0</v>
      </c>
      <c r="P29" s="6" t="s">
        <v>9</v>
      </c>
      <c r="Q29" s="6" t="s">
        <v>9</v>
      </c>
      <c r="R29" s="6" t="s">
        <v>16</v>
      </c>
      <c r="S29" s="43" t="s">
        <v>23</v>
      </c>
      <c r="T29" s="6" t="s">
        <v>9</v>
      </c>
      <c r="U29" s="30">
        <f t="shared" si="1"/>
        <v>3</v>
      </c>
      <c r="V29" s="6" t="s">
        <v>9</v>
      </c>
      <c r="W29" s="6" t="s">
        <v>9</v>
      </c>
      <c r="X29" s="6" t="s">
        <v>9</v>
      </c>
      <c r="Y29" s="6" t="s">
        <v>16</v>
      </c>
      <c r="Z29" s="6" t="s">
        <v>9</v>
      </c>
      <c r="AA29" s="6" t="s">
        <v>9</v>
      </c>
      <c r="AB29" s="6" t="s">
        <v>23</v>
      </c>
      <c r="AD29" s="30">
        <f t="shared" si="2"/>
        <v>5</v>
      </c>
      <c r="AE29" s="21"/>
    </row>
    <row r="30" spans="1:33" x14ac:dyDescent="0.25">
      <c r="A30" s="2" t="s">
        <v>216</v>
      </c>
      <c r="B30" s="21"/>
      <c r="C30" s="6" t="s">
        <v>210</v>
      </c>
      <c r="D30" s="24" t="s">
        <v>20</v>
      </c>
      <c r="E30" s="24" t="s">
        <v>211</v>
      </c>
      <c r="O30" s="30">
        <f t="shared" si="0"/>
        <v>0</v>
      </c>
      <c r="P30" s="6" t="s">
        <v>34</v>
      </c>
      <c r="Q30" s="6" t="s">
        <v>34</v>
      </c>
      <c r="R30" s="6" t="s">
        <v>34</v>
      </c>
      <c r="S30" s="6" t="s">
        <v>34</v>
      </c>
      <c r="T30" s="41" t="s">
        <v>9</v>
      </c>
      <c r="U30" s="30">
        <f t="shared" si="1"/>
        <v>1</v>
      </c>
      <c r="V30" s="6" t="s">
        <v>9</v>
      </c>
      <c r="W30" s="6" t="s">
        <v>9</v>
      </c>
      <c r="X30" s="6" t="s">
        <v>9</v>
      </c>
      <c r="Y30" s="6" t="s">
        <v>9</v>
      </c>
      <c r="Z30" s="6" t="s">
        <v>9</v>
      </c>
      <c r="AA30" s="6" t="s">
        <v>16</v>
      </c>
      <c r="AB30" s="6" t="s">
        <v>9</v>
      </c>
      <c r="AD30" s="30">
        <f t="shared" si="2"/>
        <v>6</v>
      </c>
      <c r="AE30" s="21"/>
    </row>
    <row r="31" spans="1:33" x14ac:dyDescent="0.25">
      <c r="A31" s="2" t="s">
        <v>90</v>
      </c>
      <c r="B31" s="21">
        <v>85991186787</v>
      </c>
      <c r="C31" s="6" t="s">
        <v>210</v>
      </c>
      <c r="D31" s="24" t="s">
        <v>20</v>
      </c>
      <c r="E31" s="24" t="s">
        <v>211</v>
      </c>
      <c r="F31" s="6" t="s">
        <v>34</v>
      </c>
      <c r="G31" s="6" t="s">
        <v>34</v>
      </c>
      <c r="H31" s="6" t="s">
        <v>34</v>
      </c>
      <c r="I31" s="6" t="s">
        <v>34</v>
      </c>
      <c r="J31" s="6" t="s">
        <v>34</v>
      </c>
      <c r="K31" s="6" t="s">
        <v>34</v>
      </c>
      <c r="L31" s="6" t="s">
        <v>34</v>
      </c>
      <c r="M31" s="6" t="s">
        <v>34</v>
      </c>
      <c r="N31" s="6" t="s">
        <v>9</v>
      </c>
      <c r="O31" s="30">
        <f t="shared" si="0"/>
        <v>1</v>
      </c>
      <c r="P31" s="6" t="s">
        <v>16</v>
      </c>
      <c r="Q31" s="6" t="s">
        <v>9</v>
      </c>
      <c r="R31" s="6" t="s">
        <v>9</v>
      </c>
      <c r="S31" s="43" t="s">
        <v>9</v>
      </c>
      <c r="T31" s="43" t="s">
        <v>9</v>
      </c>
      <c r="U31" s="30">
        <f t="shared" si="1"/>
        <v>4</v>
      </c>
      <c r="V31" s="43" t="s">
        <v>9</v>
      </c>
      <c r="W31" s="43" t="s">
        <v>9</v>
      </c>
      <c r="X31" s="6" t="s">
        <v>9</v>
      </c>
      <c r="Y31" s="6" t="s">
        <v>9</v>
      </c>
      <c r="Z31" s="6" t="s">
        <v>16</v>
      </c>
      <c r="AA31" s="6" t="s">
        <v>23</v>
      </c>
      <c r="AB31" s="6" t="s">
        <v>9</v>
      </c>
      <c r="AD31" s="30">
        <f t="shared" si="2"/>
        <v>5</v>
      </c>
      <c r="AE31" s="21"/>
      <c r="AF31" s="10"/>
    </row>
    <row r="32" spans="1:33" x14ac:dyDescent="0.25">
      <c r="A32" s="2" t="s">
        <v>217</v>
      </c>
      <c r="B32" s="21"/>
      <c r="C32" s="6" t="s">
        <v>210</v>
      </c>
      <c r="D32" s="24" t="s">
        <v>20</v>
      </c>
      <c r="E32" s="24" t="s">
        <v>211</v>
      </c>
      <c r="M32" s="6" t="s">
        <v>34</v>
      </c>
      <c r="N32" s="6" t="s">
        <v>34</v>
      </c>
      <c r="O32" s="30">
        <f t="shared" si="0"/>
        <v>0</v>
      </c>
      <c r="P32" s="6" t="s">
        <v>34</v>
      </c>
      <c r="Q32" s="6" t="s">
        <v>34</v>
      </c>
      <c r="R32" s="6" t="s">
        <v>34</v>
      </c>
      <c r="S32" s="6" t="s">
        <v>34</v>
      </c>
      <c r="T32" s="6" t="s">
        <v>34</v>
      </c>
      <c r="U32" s="30">
        <f t="shared" si="1"/>
        <v>0</v>
      </c>
      <c r="V32" s="81" t="s">
        <v>16</v>
      </c>
      <c r="W32" s="81" t="s">
        <v>16</v>
      </c>
      <c r="X32" s="8" t="s">
        <v>16</v>
      </c>
      <c r="Y32" s="8" t="s">
        <v>16</v>
      </c>
      <c r="Z32" s="8" t="s">
        <v>23</v>
      </c>
      <c r="AA32" s="8" t="s">
        <v>16</v>
      </c>
      <c r="AB32" s="6" t="s">
        <v>23</v>
      </c>
      <c r="AD32" s="30">
        <f t="shared" si="2"/>
        <v>0</v>
      </c>
      <c r="AE32" s="21"/>
      <c r="AF32" s="10"/>
    </row>
    <row r="33" spans="1:34" x14ac:dyDescent="0.25">
      <c r="A33" s="2" t="s">
        <v>91</v>
      </c>
      <c r="B33" s="21">
        <v>85992833418</v>
      </c>
      <c r="C33" s="6" t="s">
        <v>210</v>
      </c>
      <c r="D33" s="24" t="s">
        <v>20</v>
      </c>
      <c r="E33" s="24" t="s">
        <v>211</v>
      </c>
      <c r="F33" s="6" t="s">
        <v>34</v>
      </c>
      <c r="G33" s="6" t="s">
        <v>34</v>
      </c>
      <c r="H33" s="6" t="s">
        <v>34</v>
      </c>
      <c r="I33" s="6" t="s">
        <v>34</v>
      </c>
      <c r="J33" s="6" t="s">
        <v>34</v>
      </c>
      <c r="K33" s="6" t="s">
        <v>34</v>
      </c>
      <c r="L33" s="6" t="s">
        <v>34</v>
      </c>
      <c r="M33" s="6" t="s">
        <v>34</v>
      </c>
      <c r="N33" s="6" t="s">
        <v>9</v>
      </c>
      <c r="O33" s="30">
        <f t="shared" si="0"/>
        <v>1</v>
      </c>
      <c r="P33" s="6" t="s">
        <v>16</v>
      </c>
      <c r="Q33" s="6" t="s">
        <v>16</v>
      </c>
      <c r="R33" s="6" t="s">
        <v>9</v>
      </c>
      <c r="S33" s="43" t="s">
        <v>9</v>
      </c>
      <c r="T33" s="6" t="s">
        <v>9</v>
      </c>
      <c r="U33" s="30">
        <f t="shared" si="1"/>
        <v>3</v>
      </c>
      <c r="V33" s="6" t="s">
        <v>9</v>
      </c>
      <c r="W33" s="6" t="s">
        <v>9</v>
      </c>
      <c r="X33" s="6" t="s">
        <v>9</v>
      </c>
      <c r="Y33" s="6" t="s">
        <v>9</v>
      </c>
      <c r="Z33" s="6" t="s">
        <v>9</v>
      </c>
      <c r="AA33" s="6" t="s">
        <v>9</v>
      </c>
      <c r="AB33" s="6" t="s">
        <v>9</v>
      </c>
      <c r="AD33" s="30">
        <f t="shared" si="2"/>
        <v>7</v>
      </c>
      <c r="AE33" s="38" t="s">
        <v>17</v>
      </c>
      <c r="AF33" s="10"/>
      <c r="AG33" s="2" t="s">
        <v>92</v>
      </c>
    </row>
    <row r="34" spans="1:34" x14ac:dyDescent="0.25">
      <c r="A34" s="2" t="s">
        <v>93</v>
      </c>
      <c r="B34" s="21">
        <v>85997649845</v>
      </c>
      <c r="C34" s="6" t="s">
        <v>210</v>
      </c>
      <c r="D34" s="24" t="s">
        <v>20</v>
      </c>
      <c r="E34" s="24" t="s">
        <v>211</v>
      </c>
      <c r="F34" s="6" t="s">
        <v>16</v>
      </c>
      <c r="G34" s="6" t="s">
        <v>16</v>
      </c>
      <c r="H34" s="6" t="s">
        <v>16</v>
      </c>
      <c r="I34" s="6" t="s">
        <v>16</v>
      </c>
      <c r="J34" s="6" t="s">
        <v>16</v>
      </c>
      <c r="K34" s="6" t="s">
        <v>9</v>
      </c>
      <c r="L34" s="6" t="s">
        <v>9</v>
      </c>
      <c r="M34" s="6" t="s">
        <v>9</v>
      </c>
      <c r="N34" s="6" t="s">
        <v>9</v>
      </c>
      <c r="O34" s="30">
        <f t="shared" si="0"/>
        <v>4</v>
      </c>
      <c r="P34" s="6" t="s">
        <v>16</v>
      </c>
      <c r="Q34" s="6" t="s">
        <v>9</v>
      </c>
      <c r="R34" s="6" t="s">
        <v>9</v>
      </c>
      <c r="S34" s="43" t="s">
        <v>9</v>
      </c>
      <c r="T34" s="6" t="s">
        <v>16</v>
      </c>
      <c r="U34" s="30">
        <f t="shared" si="1"/>
        <v>3</v>
      </c>
      <c r="V34" s="6" t="s">
        <v>9</v>
      </c>
      <c r="W34" s="8" t="s">
        <v>16</v>
      </c>
      <c r="X34" s="8" t="s">
        <v>16</v>
      </c>
      <c r="Y34" s="8" t="s">
        <v>16</v>
      </c>
      <c r="Z34" s="6" t="s">
        <v>9</v>
      </c>
      <c r="AA34" s="6" t="s">
        <v>16</v>
      </c>
      <c r="AB34" s="6" t="s">
        <v>9</v>
      </c>
      <c r="AD34" s="30">
        <f t="shared" si="2"/>
        <v>3</v>
      </c>
      <c r="AE34" s="21"/>
      <c r="AF34" s="14" t="s">
        <v>171</v>
      </c>
    </row>
    <row r="35" spans="1:34" x14ac:dyDescent="0.25">
      <c r="A35" s="2" t="s">
        <v>94</v>
      </c>
      <c r="B35" s="21"/>
      <c r="C35" s="6" t="s">
        <v>210</v>
      </c>
      <c r="D35" s="24" t="s">
        <v>20</v>
      </c>
      <c r="E35" s="24" t="s">
        <v>211</v>
      </c>
      <c r="F35" s="6" t="s">
        <v>16</v>
      </c>
      <c r="G35" s="6" t="s">
        <v>16</v>
      </c>
      <c r="H35" s="6" t="s">
        <v>9</v>
      </c>
      <c r="I35" s="6" t="s">
        <v>16</v>
      </c>
      <c r="J35" s="6" t="s">
        <v>9</v>
      </c>
      <c r="K35" s="6" t="s">
        <v>9</v>
      </c>
      <c r="L35" s="6" t="s">
        <v>9</v>
      </c>
      <c r="M35" s="6" t="s">
        <v>9</v>
      </c>
      <c r="N35" s="6" t="s">
        <v>9</v>
      </c>
      <c r="O35" s="30">
        <f t="shared" si="0"/>
        <v>6</v>
      </c>
      <c r="P35" s="6" t="s">
        <v>9</v>
      </c>
      <c r="Q35" s="6" t="s">
        <v>9</v>
      </c>
      <c r="R35" s="6" t="s">
        <v>16</v>
      </c>
      <c r="S35" s="43" t="s">
        <v>9</v>
      </c>
      <c r="T35" s="6" t="s">
        <v>9</v>
      </c>
      <c r="U35" s="30">
        <f t="shared" si="1"/>
        <v>4</v>
      </c>
      <c r="V35" s="6" t="s">
        <v>9</v>
      </c>
      <c r="W35" s="6" t="s">
        <v>16</v>
      </c>
      <c r="X35" s="6" t="s">
        <v>9</v>
      </c>
      <c r="Y35" s="6" t="s">
        <v>9</v>
      </c>
      <c r="Z35" s="6" t="s">
        <v>9</v>
      </c>
      <c r="AA35" s="6" t="s">
        <v>9</v>
      </c>
      <c r="AB35" s="6" t="s">
        <v>9</v>
      </c>
      <c r="AD35" s="30">
        <f t="shared" si="2"/>
        <v>6</v>
      </c>
      <c r="AE35" s="21"/>
      <c r="AF35" s="15" t="s">
        <v>185</v>
      </c>
    </row>
    <row r="36" spans="1:34" x14ac:dyDescent="0.25">
      <c r="A36" s="2" t="s">
        <v>218</v>
      </c>
      <c r="B36" s="21">
        <v>85988297277</v>
      </c>
      <c r="C36" s="6" t="s">
        <v>210</v>
      </c>
      <c r="D36" s="24" t="s">
        <v>20</v>
      </c>
      <c r="E36" s="24" t="s">
        <v>211</v>
      </c>
      <c r="F36" s="6" t="s">
        <v>34</v>
      </c>
      <c r="G36" s="6" t="s">
        <v>34</v>
      </c>
      <c r="H36" s="6" t="s">
        <v>34</v>
      </c>
      <c r="I36" s="6" t="s">
        <v>34</v>
      </c>
      <c r="J36" s="6" t="s">
        <v>34</v>
      </c>
      <c r="K36" s="6" t="s">
        <v>34</v>
      </c>
      <c r="L36" s="6" t="s">
        <v>34</v>
      </c>
      <c r="M36" s="6" t="s">
        <v>34</v>
      </c>
      <c r="N36" s="6" t="s">
        <v>34</v>
      </c>
      <c r="O36" s="30">
        <f t="shared" si="0"/>
        <v>0</v>
      </c>
      <c r="P36" s="6" t="s">
        <v>9</v>
      </c>
      <c r="Q36" s="6" t="s">
        <v>9</v>
      </c>
      <c r="R36" s="6" t="s">
        <v>9</v>
      </c>
      <c r="S36" s="43" t="s">
        <v>9</v>
      </c>
      <c r="T36" s="6" t="s">
        <v>9</v>
      </c>
      <c r="U36" s="30">
        <f t="shared" si="1"/>
        <v>5</v>
      </c>
      <c r="V36" s="6" t="s">
        <v>9</v>
      </c>
      <c r="W36" s="6" t="s">
        <v>9</v>
      </c>
      <c r="X36" s="6" t="s">
        <v>9</v>
      </c>
      <c r="Y36" s="6" t="s">
        <v>9</v>
      </c>
      <c r="Z36" s="6" t="s">
        <v>9</v>
      </c>
      <c r="AA36" s="6" t="s">
        <v>16</v>
      </c>
      <c r="AB36" s="6" t="s">
        <v>9</v>
      </c>
      <c r="AD36" s="30">
        <f t="shared" si="2"/>
        <v>6</v>
      </c>
      <c r="AE36" s="21"/>
    </row>
    <row r="37" spans="1:34" x14ac:dyDescent="0.25">
      <c r="A37" s="2" t="s">
        <v>96</v>
      </c>
      <c r="B37" s="21"/>
      <c r="C37" s="6" t="s">
        <v>210</v>
      </c>
      <c r="D37" s="24" t="s">
        <v>20</v>
      </c>
      <c r="E37" s="24" t="s">
        <v>211</v>
      </c>
      <c r="F37" s="6" t="s">
        <v>9</v>
      </c>
      <c r="G37" s="6" t="s">
        <v>16</v>
      </c>
      <c r="H37" s="6" t="s">
        <v>9</v>
      </c>
      <c r="I37" s="6" t="s">
        <v>16</v>
      </c>
      <c r="J37" s="6" t="s">
        <v>9</v>
      </c>
      <c r="K37" s="6" t="s">
        <v>9</v>
      </c>
      <c r="L37" s="6" t="s">
        <v>16</v>
      </c>
      <c r="M37" s="6" t="s">
        <v>9</v>
      </c>
      <c r="N37" s="6" t="s">
        <v>9</v>
      </c>
      <c r="O37" s="30">
        <f t="shared" si="0"/>
        <v>6</v>
      </c>
      <c r="P37" s="6" t="s">
        <v>9</v>
      </c>
      <c r="Q37" s="6" t="s">
        <v>16</v>
      </c>
      <c r="R37" s="6" t="s">
        <v>9</v>
      </c>
      <c r="S37" s="43" t="s">
        <v>9</v>
      </c>
      <c r="T37" s="6" t="s">
        <v>9</v>
      </c>
      <c r="U37" s="30">
        <f t="shared" si="1"/>
        <v>4</v>
      </c>
      <c r="V37" s="6" t="s">
        <v>16</v>
      </c>
      <c r="W37" s="6" t="s">
        <v>9</v>
      </c>
      <c r="X37" s="6" t="s">
        <v>9</v>
      </c>
      <c r="Y37" s="6" t="s">
        <v>16</v>
      </c>
      <c r="Z37" s="6" t="s">
        <v>16</v>
      </c>
      <c r="AA37" s="6" t="s">
        <v>9</v>
      </c>
      <c r="AB37" s="6" t="s">
        <v>9</v>
      </c>
      <c r="AD37" s="30">
        <f t="shared" si="2"/>
        <v>4</v>
      </c>
      <c r="AE37" s="39" t="s">
        <v>21</v>
      </c>
      <c r="AF37" s="14" t="s">
        <v>171</v>
      </c>
    </row>
    <row r="38" spans="1:34" x14ac:dyDescent="0.25">
      <c r="A38" s="3" t="s">
        <v>97</v>
      </c>
      <c r="B38" s="21">
        <v>85999861244</v>
      </c>
      <c r="C38" s="6" t="s">
        <v>210</v>
      </c>
      <c r="D38" s="24" t="s">
        <v>20</v>
      </c>
      <c r="E38" s="24" t="s">
        <v>211</v>
      </c>
      <c r="F38" s="6" t="s">
        <v>9</v>
      </c>
      <c r="G38" s="6" t="s">
        <v>9</v>
      </c>
      <c r="H38" s="6" t="s">
        <v>9</v>
      </c>
      <c r="I38" s="6" t="s">
        <v>9</v>
      </c>
      <c r="J38" s="6" t="s">
        <v>9</v>
      </c>
      <c r="K38" s="6" t="s">
        <v>9</v>
      </c>
      <c r="L38" s="6" t="s">
        <v>9</v>
      </c>
      <c r="M38" s="6" t="s">
        <v>9</v>
      </c>
      <c r="N38" s="6" t="s">
        <v>16</v>
      </c>
      <c r="O38" s="30">
        <f t="shared" si="0"/>
        <v>8</v>
      </c>
      <c r="P38" s="6" t="s">
        <v>16</v>
      </c>
      <c r="Q38" s="6" t="s">
        <v>9</v>
      </c>
      <c r="R38" s="6" t="s">
        <v>9</v>
      </c>
      <c r="S38" s="43" t="s">
        <v>9</v>
      </c>
      <c r="T38" s="6" t="s">
        <v>9</v>
      </c>
      <c r="U38" s="30">
        <f t="shared" si="1"/>
        <v>4</v>
      </c>
      <c r="V38" s="6" t="s">
        <v>9</v>
      </c>
      <c r="W38" s="6" t="s">
        <v>9</v>
      </c>
      <c r="X38" s="6" t="s">
        <v>9</v>
      </c>
      <c r="Y38" s="6" t="s">
        <v>9</v>
      </c>
      <c r="Z38" s="6" t="s">
        <v>9</v>
      </c>
      <c r="AA38" s="6" t="s">
        <v>9</v>
      </c>
      <c r="AD38" s="30">
        <f t="shared" si="2"/>
        <v>6</v>
      </c>
      <c r="AE38" s="21"/>
      <c r="AF38" s="14" t="s">
        <v>171</v>
      </c>
    </row>
    <row r="39" spans="1:34" x14ac:dyDescent="0.25">
      <c r="A39" s="2" t="s">
        <v>98</v>
      </c>
      <c r="B39" s="21">
        <v>85985424242</v>
      </c>
      <c r="C39" s="6" t="s">
        <v>210</v>
      </c>
      <c r="D39" s="24" t="s">
        <v>20</v>
      </c>
      <c r="E39" s="24" t="s">
        <v>211</v>
      </c>
      <c r="F39" s="6" t="s">
        <v>34</v>
      </c>
      <c r="G39" s="6" t="s">
        <v>34</v>
      </c>
      <c r="H39" s="6" t="s">
        <v>34</v>
      </c>
      <c r="I39" s="6" t="s">
        <v>34</v>
      </c>
      <c r="J39" s="6" t="s">
        <v>34</v>
      </c>
      <c r="K39" s="6" t="s">
        <v>9</v>
      </c>
      <c r="L39" s="6" t="s">
        <v>9</v>
      </c>
      <c r="M39" s="6" t="s">
        <v>9</v>
      </c>
      <c r="N39" s="6" t="s">
        <v>9</v>
      </c>
      <c r="O39" s="30">
        <f t="shared" si="0"/>
        <v>4</v>
      </c>
      <c r="P39" s="6" t="s">
        <v>16</v>
      </c>
      <c r="Q39" s="6" t="s">
        <v>9</v>
      </c>
      <c r="R39" s="6" t="s">
        <v>16</v>
      </c>
      <c r="S39" s="43" t="s">
        <v>16</v>
      </c>
      <c r="T39" s="6" t="s">
        <v>16</v>
      </c>
      <c r="U39" s="30">
        <f t="shared" si="1"/>
        <v>1</v>
      </c>
      <c r="V39" s="6" t="s">
        <v>16</v>
      </c>
      <c r="W39" s="6" t="s">
        <v>16</v>
      </c>
      <c r="X39" s="6" t="s">
        <v>16</v>
      </c>
      <c r="Y39" s="6" t="s">
        <v>9</v>
      </c>
      <c r="Z39" s="6" t="s">
        <v>9</v>
      </c>
      <c r="AA39" s="6" t="s">
        <v>9</v>
      </c>
      <c r="AB39" s="6" t="s">
        <v>9</v>
      </c>
      <c r="AD39" s="30">
        <f t="shared" si="2"/>
        <v>4</v>
      </c>
      <c r="AE39" s="21"/>
      <c r="AF39" s="14"/>
    </row>
    <row r="40" spans="1:34" x14ac:dyDescent="0.25">
      <c r="A40" s="2" t="s">
        <v>99</v>
      </c>
      <c r="B40" s="21">
        <v>85987483121</v>
      </c>
      <c r="C40" s="6" t="s">
        <v>210</v>
      </c>
      <c r="D40" s="24" t="s">
        <v>20</v>
      </c>
      <c r="E40" s="24" t="s">
        <v>211</v>
      </c>
      <c r="F40" s="6" t="s">
        <v>34</v>
      </c>
      <c r="G40" s="6" t="s">
        <v>34</v>
      </c>
      <c r="H40" s="6" t="s">
        <v>34</v>
      </c>
      <c r="I40" s="6" t="s">
        <v>34</v>
      </c>
      <c r="J40" s="6" t="s">
        <v>34</v>
      </c>
      <c r="K40" s="6" t="s">
        <v>34</v>
      </c>
      <c r="L40" s="6" t="s">
        <v>34</v>
      </c>
      <c r="M40" s="6" t="s">
        <v>34</v>
      </c>
      <c r="N40" s="6" t="s">
        <v>34</v>
      </c>
      <c r="O40" s="30">
        <f t="shared" si="0"/>
        <v>0</v>
      </c>
      <c r="P40" s="6" t="s">
        <v>9</v>
      </c>
      <c r="Q40" s="6" t="s">
        <v>16</v>
      </c>
      <c r="R40" s="6" t="s">
        <v>9</v>
      </c>
      <c r="S40" s="43" t="s">
        <v>16</v>
      </c>
      <c r="T40" s="6" t="s">
        <v>9</v>
      </c>
      <c r="U40" s="30">
        <f t="shared" si="1"/>
        <v>3</v>
      </c>
      <c r="V40" s="6" t="s">
        <v>23</v>
      </c>
      <c r="W40" s="6" t="s">
        <v>9</v>
      </c>
      <c r="X40" s="6" t="s">
        <v>9</v>
      </c>
      <c r="Y40" s="6" t="s">
        <v>9</v>
      </c>
      <c r="Z40" s="6" t="s">
        <v>9</v>
      </c>
      <c r="AA40" s="6" t="s">
        <v>16</v>
      </c>
      <c r="AB40" s="6" t="s">
        <v>9</v>
      </c>
      <c r="AD40" s="30">
        <f t="shared" si="2"/>
        <v>5</v>
      </c>
      <c r="AE40" s="39" t="s">
        <v>21</v>
      </c>
    </row>
    <row r="41" spans="1:34" x14ac:dyDescent="0.25">
      <c r="A41" s="3" t="s">
        <v>101</v>
      </c>
      <c r="B41" s="21">
        <v>85998482047</v>
      </c>
      <c r="C41" s="6" t="s">
        <v>210</v>
      </c>
      <c r="D41" s="24" t="s">
        <v>20</v>
      </c>
      <c r="E41" s="24" t="s">
        <v>211</v>
      </c>
      <c r="F41" s="6" t="s">
        <v>9</v>
      </c>
      <c r="G41" s="6" t="s">
        <v>9</v>
      </c>
      <c r="H41" s="6" t="s">
        <v>9</v>
      </c>
      <c r="I41" s="6" t="s">
        <v>9</v>
      </c>
      <c r="J41" s="6" t="s">
        <v>9</v>
      </c>
      <c r="K41" s="6" t="s">
        <v>9</v>
      </c>
      <c r="L41" s="6" t="s">
        <v>9</v>
      </c>
      <c r="M41" s="6" t="s">
        <v>9</v>
      </c>
      <c r="N41" s="6" t="s">
        <v>9</v>
      </c>
      <c r="O41" s="30">
        <f t="shared" si="0"/>
        <v>9</v>
      </c>
      <c r="P41" s="6" t="s">
        <v>9</v>
      </c>
      <c r="Q41" s="6" t="s">
        <v>16</v>
      </c>
      <c r="R41" s="6" t="s">
        <v>9</v>
      </c>
      <c r="S41" s="43" t="s">
        <v>9</v>
      </c>
      <c r="T41" s="6" t="s">
        <v>9</v>
      </c>
      <c r="U41" s="30">
        <f t="shared" si="1"/>
        <v>4</v>
      </c>
      <c r="V41" s="6" t="s">
        <v>9</v>
      </c>
      <c r="W41" s="6" t="s">
        <v>9</v>
      </c>
      <c r="X41" s="6" t="s">
        <v>9</v>
      </c>
      <c r="Y41" s="6" t="s">
        <v>9</v>
      </c>
      <c r="Z41" s="6" t="s">
        <v>16</v>
      </c>
      <c r="AA41" s="6" t="s">
        <v>9</v>
      </c>
      <c r="AB41" s="6" t="s">
        <v>9</v>
      </c>
      <c r="AD41" s="30">
        <f t="shared" si="2"/>
        <v>6</v>
      </c>
      <c r="AE41" s="39" t="s">
        <v>21</v>
      </c>
      <c r="AF41" s="14" t="s">
        <v>171</v>
      </c>
      <c r="AG41" s="2" t="s">
        <v>102</v>
      </c>
    </row>
    <row r="42" spans="1:34" x14ac:dyDescent="0.25">
      <c r="A42" s="3" t="s">
        <v>219</v>
      </c>
      <c r="B42" s="21"/>
      <c r="C42" s="6" t="s">
        <v>210</v>
      </c>
      <c r="D42" s="24" t="s">
        <v>20</v>
      </c>
      <c r="E42" s="24" t="s">
        <v>211</v>
      </c>
      <c r="O42" s="30">
        <f t="shared" si="0"/>
        <v>0</v>
      </c>
      <c r="P42" s="6" t="s">
        <v>34</v>
      </c>
      <c r="Q42" s="6" t="s">
        <v>34</v>
      </c>
      <c r="R42" s="6" t="s">
        <v>34</v>
      </c>
      <c r="S42" s="6" t="s">
        <v>34</v>
      </c>
      <c r="T42" s="6" t="s">
        <v>34</v>
      </c>
      <c r="U42" s="30">
        <f t="shared" si="1"/>
        <v>0</v>
      </c>
      <c r="V42" s="6" t="s">
        <v>9</v>
      </c>
      <c r="W42" s="8" t="s">
        <v>16</v>
      </c>
      <c r="X42" s="8" t="s">
        <v>16</v>
      </c>
      <c r="Y42" s="8" t="s">
        <v>16</v>
      </c>
      <c r="Z42" s="8" t="s">
        <v>16</v>
      </c>
      <c r="AA42" s="8" t="s">
        <v>16</v>
      </c>
      <c r="AB42" s="6" t="s">
        <v>9</v>
      </c>
      <c r="AD42" s="30">
        <f t="shared" si="2"/>
        <v>2</v>
      </c>
      <c r="AE42" s="39"/>
      <c r="AF42" s="14"/>
    </row>
    <row r="43" spans="1:34" x14ac:dyDescent="0.25">
      <c r="A43" s="2" t="s">
        <v>104</v>
      </c>
      <c r="B43" s="21">
        <v>85989723811</v>
      </c>
      <c r="C43" s="6" t="s">
        <v>210</v>
      </c>
      <c r="D43" s="24" t="s">
        <v>20</v>
      </c>
      <c r="E43" s="24" t="s">
        <v>211</v>
      </c>
      <c r="F43" s="6" t="s">
        <v>34</v>
      </c>
      <c r="G43" s="6" t="s">
        <v>34</v>
      </c>
      <c r="H43" s="6" t="s">
        <v>34</v>
      </c>
      <c r="I43" s="6" t="s">
        <v>34</v>
      </c>
      <c r="J43" s="6" t="s">
        <v>34</v>
      </c>
      <c r="K43" s="6" t="s">
        <v>34</v>
      </c>
      <c r="L43" s="6" t="s">
        <v>34</v>
      </c>
      <c r="M43" s="6" t="s">
        <v>34</v>
      </c>
      <c r="N43" s="6" t="s">
        <v>9</v>
      </c>
      <c r="O43" s="30">
        <f t="shared" si="0"/>
        <v>1</v>
      </c>
      <c r="P43" s="6" t="s">
        <v>9</v>
      </c>
      <c r="Q43" s="6" t="s">
        <v>9</v>
      </c>
      <c r="R43" s="6" t="s">
        <v>9</v>
      </c>
      <c r="S43" s="43" t="s">
        <v>9</v>
      </c>
      <c r="T43" s="6" t="s">
        <v>9</v>
      </c>
      <c r="U43" s="30">
        <f t="shared" si="1"/>
        <v>5</v>
      </c>
      <c r="V43" s="6" t="s">
        <v>9</v>
      </c>
      <c r="W43" s="6" t="s">
        <v>9</v>
      </c>
      <c r="X43" s="6" t="s">
        <v>9</v>
      </c>
      <c r="Y43" s="6" t="s">
        <v>9</v>
      </c>
      <c r="Z43" s="6" t="s">
        <v>16</v>
      </c>
      <c r="AA43" s="6" t="s">
        <v>9</v>
      </c>
      <c r="AB43" s="6" t="s">
        <v>9</v>
      </c>
      <c r="AD43" s="30">
        <f t="shared" si="2"/>
        <v>6</v>
      </c>
      <c r="AE43" s="21"/>
      <c r="AF43" s="10"/>
    </row>
    <row r="44" spans="1:34" x14ac:dyDescent="0.25">
      <c r="A44" s="2" t="s">
        <v>105</v>
      </c>
      <c r="B44" s="21"/>
      <c r="C44" s="6" t="s">
        <v>210</v>
      </c>
      <c r="D44" s="24" t="s">
        <v>20</v>
      </c>
      <c r="E44" s="24" t="s">
        <v>211</v>
      </c>
      <c r="F44" s="6" t="s">
        <v>34</v>
      </c>
      <c r="G44" s="6" t="s">
        <v>34</v>
      </c>
      <c r="H44" s="6" t="s">
        <v>34</v>
      </c>
      <c r="I44" s="6" t="s">
        <v>34</v>
      </c>
      <c r="J44" s="6" t="s">
        <v>34</v>
      </c>
      <c r="K44" s="6" t="s">
        <v>34</v>
      </c>
      <c r="L44" s="6" t="s">
        <v>34</v>
      </c>
      <c r="M44" s="6" t="s">
        <v>34</v>
      </c>
      <c r="N44" s="6" t="s">
        <v>34</v>
      </c>
      <c r="O44" s="30">
        <f t="shared" si="0"/>
        <v>0</v>
      </c>
      <c r="P44" s="6" t="s">
        <v>34</v>
      </c>
      <c r="Q44" s="6" t="s">
        <v>34</v>
      </c>
      <c r="R44" s="6" t="s">
        <v>9</v>
      </c>
      <c r="S44" s="43" t="s">
        <v>9</v>
      </c>
      <c r="T44" s="6" t="s">
        <v>16</v>
      </c>
      <c r="U44" s="30">
        <f t="shared" si="1"/>
        <v>2</v>
      </c>
      <c r="V44" s="6" t="s">
        <v>9</v>
      </c>
      <c r="W44" s="6" t="s">
        <v>9</v>
      </c>
      <c r="X44" s="6" t="s">
        <v>9</v>
      </c>
      <c r="Y44" s="6" t="s">
        <v>9</v>
      </c>
      <c r="Z44" s="6" t="s">
        <v>9</v>
      </c>
      <c r="AA44" s="6" t="s">
        <v>9</v>
      </c>
      <c r="AB44" s="6" t="s">
        <v>9</v>
      </c>
      <c r="AD44" s="30">
        <f t="shared" si="2"/>
        <v>7</v>
      </c>
      <c r="AE44" s="38" t="s">
        <v>17</v>
      </c>
      <c r="AG44" s="2" t="s">
        <v>32</v>
      </c>
      <c r="AH44" s="3"/>
    </row>
    <row r="45" spans="1:34" x14ac:dyDescent="0.25">
      <c r="A45" s="3" t="s">
        <v>106</v>
      </c>
      <c r="B45" s="21">
        <v>85987606529</v>
      </c>
      <c r="C45" s="6" t="s">
        <v>210</v>
      </c>
      <c r="D45" s="24" t="s">
        <v>20</v>
      </c>
      <c r="E45" s="24" t="s">
        <v>211</v>
      </c>
      <c r="F45" s="6" t="s">
        <v>9</v>
      </c>
      <c r="G45" s="6" t="s">
        <v>16</v>
      </c>
      <c r="H45" s="6" t="s">
        <v>16</v>
      </c>
      <c r="I45" s="6" t="s">
        <v>16</v>
      </c>
      <c r="J45" s="6" t="s">
        <v>16</v>
      </c>
      <c r="K45" s="6" t="s">
        <v>16</v>
      </c>
      <c r="L45" s="6" t="s">
        <v>16</v>
      </c>
      <c r="M45" s="6" t="s">
        <v>16</v>
      </c>
      <c r="N45" s="6" t="s">
        <v>16</v>
      </c>
      <c r="O45" s="30">
        <f t="shared" si="0"/>
        <v>1</v>
      </c>
      <c r="P45" s="6" t="s">
        <v>9</v>
      </c>
      <c r="Q45" s="6" t="s">
        <v>9</v>
      </c>
      <c r="R45" s="6" t="s">
        <v>9</v>
      </c>
      <c r="S45" s="43" t="s">
        <v>16</v>
      </c>
      <c r="T45" s="6" t="s">
        <v>9</v>
      </c>
      <c r="U45" s="30">
        <f t="shared" si="1"/>
        <v>4</v>
      </c>
      <c r="V45" s="6" t="s">
        <v>9</v>
      </c>
      <c r="W45" s="6" t="s">
        <v>9</v>
      </c>
      <c r="X45" s="6" t="s">
        <v>9</v>
      </c>
      <c r="Y45" s="6" t="s">
        <v>16</v>
      </c>
      <c r="Z45" s="6" t="s">
        <v>23</v>
      </c>
      <c r="AA45" s="6" t="s">
        <v>9</v>
      </c>
      <c r="AD45" s="30">
        <f t="shared" si="2"/>
        <v>4</v>
      </c>
      <c r="AE45" s="21"/>
      <c r="AF45" s="14" t="s">
        <v>171</v>
      </c>
    </row>
    <row r="46" spans="1:34" ht="15" x14ac:dyDescent="0.25">
      <c r="A46" t="s">
        <v>220</v>
      </c>
      <c r="B46" s="21">
        <v>85985372615</v>
      </c>
      <c r="C46" s="6" t="s">
        <v>210</v>
      </c>
      <c r="D46" s="24" t="s">
        <v>20</v>
      </c>
      <c r="E46" s="24" t="s">
        <v>211</v>
      </c>
      <c r="F46" s="6" t="s">
        <v>34</v>
      </c>
      <c r="G46" s="6" t="s">
        <v>34</v>
      </c>
      <c r="H46" s="6" t="s">
        <v>34</v>
      </c>
      <c r="I46" s="6" t="s">
        <v>34</v>
      </c>
      <c r="J46" s="6" t="s">
        <v>34</v>
      </c>
      <c r="K46" s="6" t="s">
        <v>9</v>
      </c>
      <c r="L46" s="6" t="s">
        <v>9</v>
      </c>
      <c r="M46" s="6" t="s">
        <v>9</v>
      </c>
      <c r="N46" s="6" t="s">
        <v>9</v>
      </c>
      <c r="O46" s="30">
        <f t="shared" si="0"/>
        <v>4</v>
      </c>
      <c r="P46" s="6" t="s">
        <v>16</v>
      </c>
      <c r="Q46" s="6" t="s">
        <v>16</v>
      </c>
      <c r="R46" s="6" t="s">
        <v>9</v>
      </c>
      <c r="S46" s="43" t="s">
        <v>9</v>
      </c>
      <c r="T46" s="6" t="s">
        <v>9</v>
      </c>
      <c r="U46" s="30">
        <f t="shared" si="1"/>
        <v>3</v>
      </c>
      <c r="V46" s="6" t="s">
        <v>16</v>
      </c>
      <c r="W46" s="6" t="s">
        <v>16</v>
      </c>
      <c r="X46" s="6" t="s">
        <v>9</v>
      </c>
      <c r="Y46" s="6" t="s">
        <v>9</v>
      </c>
      <c r="Z46" s="6" t="s">
        <v>9</v>
      </c>
      <c r="AA46" s="6" t="s">
        <v>16</v>
      </c>
      <c r="AB46" s="6" t="s">
        <v>9</v>
      </c>
      <c r="AD46" s="30">
        <f t="shared" si="2"/>
        <v>4</v>
      </c>
      <c r="AE46" s="21" t="s">
        <v>17</v>
      </c>
      <c r="AF46" s="10"/>
      <c r="AG46" s="2" t="s">
        <v>88</v>
      </c>
    </row>
    <row r="47" spans="1:34" x14ac:dyDescent="0.25">
      <c r="A47" s="3" t="s">
        <v>221</v>
      </c>
      <c r="B47" s="21"/>
      <c r="C47" s="6" t="s">
        <v>210</v>
      </c>
      <c r="D47" s="24" t="s">
        <v>20</v>
      </c>
      <c r="E47" s="24" t="s">
        <v>211</v>
      </c>
      <c r="O47" s="30">
        <f t="shared" si="0"/>
        <v>0</v>
      </c>
      <c r="P47" s="6" t="s">
        <v>34</v>
      </c>
      <c r="Q47" s="6" t="s">
        <v>34</v>
      </c>
      <c r="R47" s="6" t="s">
        <v>34</v>
      </c>
      <c r="S47" s="6" t="s">
        <v>34</v>
      </c>
      <c r="T47" s="6" t="s">
        <v>34</v>
      </c>
      <c r="U47" s="30">
        <f t="shared" si="1"/>
        <v>0</v>
      </c>
      <c r="V47" s="6" t="s">
        <v>9</v>
      </c>
      <c r="W47" s="6" t="s">
        <v>9</v>
      </c>
      <c r="X47" s="6" t="s">
        <v>9</v>
      </c>
      <c r="Y47" s="6" t="s">
        <v>9</v>
      </c>
      <c r="Z47" s="6" t="s">
        <v>9</v>
      </c>
      <c r="AA47" s="6" t="s">
        <v>9</v>
      </c>
      <c r="AD47" s="30">
        <f t="shared" si="2"/>
        <v>6</v>
      </c>
      <c r="AE47" s="21"/>
      <c r="AF47" s="14"/>
    </row>
    <row r="48" spans="1:34" x14ac:dyDescent="0.25">
      <c r="A48" s="2" t="s">
        <v>110</v>
      </c>
      <c r="B48" s="21">
        <v>85988150326</v>
      </c>
      <c r="C48" s="6" t="s">
        <v>210</v>
      </c>
      <c r="D48" s="24" t="s">
        <v>20</v>
      </c>
      <c r="E48" s="24" t="s">
        <v>211</v>
      </c>
      <c r="F48" s="6" t="s">
        <v>16</v>
      </c>
      <c r="G48" s="6" t="s">
        <v>16</v>
      </c>
      <c r="H48" s="6" t="s">
        <v>16</v>
      </c>
      <c r="I48" s="6" t="s">
        <v>16</v>
      </c>
      <c r="J48" s="6" t="s">
        <v>16</v>
      </c>
      <c r="K48" s="6" t="s">
        <v>16</v>
      </c>
      <c r="L48" s="6" t="s">
        <v>16</v>
      </c>
      <c r="M48" s="6" t="s">
        <v>9</v>
      </c>
      <c r="N48" s="6" t="s">
        <v>9</v>
      </c>
      <c r="O48" s="30">
        <f t="shared" si="0"/>
        <v>2</v>
      </c>
      <c r="P48" s="6" t="s">
        <v>9</v>
      </c>
      <c r="Q48" s="6" t="s">
        <v>9</v>
      </c>
      <c r="R48" s="6" t="s">
        <v>9</v>
      </c>
      <c r="S48" s="43" t="s">
        <v>9</v>
      </c>
      <c r="T48" s="6" t="s">
        <v>9</v>
      </c>
      <c r="U48" s="30">
        <f t="shared" si="1"/>
        <v>5</v>
      </c>
      <c r="V48" s="6" t="s">
        <v>9</v>
      </c>
      <c r="W48" s="6" t="s">
        <v>9</v>
      </c>
      <c r="X48" s="6" t="s">
        <v>9</v>
      </c>
      <c r="Y48" s="6" t="s">
        <v>9</v>
      </c>
      <c r="Z48" s="6" t="s">
        <v>9</v>
      </c>
      <c r="AA48" s="6" t="s">
        <v>9</v>
      </c>
      <c r="AB48" s="6" t="s">
        <v>9</v>
      </c>
      <c r="AD48" s="30">
        <f t="shared" si="2"/>
        <v>7</v>
      </c>
      <c r="AE48" s="21"/>
      <c r="AF48" s="12" t="s">
        <v>173</v>
      </c>
    </row>
    <row r="49" spans="1:34" x14ac:dyDescent="0.25">
      <c r="A49" s="2" t="s">
        <v>222</v>
      </c>
      <c r="B49" s="21"/>
      <c r="C49" s="6" t="s">
        <v>210</v>
      </c>
      <c r="D49" s="24" t="s">
        <v>20</v>
      </c>
      <c r="E49" s="24" t="s">
        <v>211</v>
      </c>
      <c r="O49" s="30">
        <f t="shared" si="0"/>
        <v>0</v>
      </c>
      <c r="P49" s="6" t="s">
        <v>34</v>
      </c>
      <c r="Q49" s="6" t="s">
        <v>34</v>
      </c>
      <c r="R49" s="6" t="s">
        <v>34</v>
      </c>
      <c r="S49" s="6" t="s">
        <v>34</v>
      </c>
      <c r="T49" s="6" t="s">
        <v>34</v>
      </c>
      <c r="U49" s="30">
        <f t="shared" si="1"/>
        <v>0</v>
      </c>
      <c r="V49" s="6" t="s">
        <v>16</v>
      </c>
      <c r="W49" s="6" t="s">
        <v>9</v>
      </c>
      <c r="X49" s="6" t="s">
        <v>9</v>
      </c>
      <c r="Y49" s="6" t="s">
        <v>9</v>
      </c>
      <c r="Z49" s="6" t="s">
        <v>9</v>
      </c>
      <c r="AA49" s="6" t="s">
        <v>9</v>
      </c>
      <c r="AB49" s="6" t="s">
        <v>9</v>
      </c>
      <c r="AD49" s="30">
        <f t="shared" si="2"/>
        <v>6</v>
      </c>
      <c r="AE49" s="21"/>
      <c r="AF49" s="12"/>
    </row>
    <row r="50" spans="1:34" x14ac:dyDescent="0.25">
      <c r="A50" s="2" t="s">
        <v>112</v>
      </c>
      <c r="B50" s="21">
        <v>85992651077</v>
      </c>
      <c r="C50" s="6" t="s">
        <v>210</v>
      </c>
      <c r="D50" s="24" t="s">
        <v>20</v>
      </c>
      <c r="E50" s="24" t="s">
        <v>211</v>
      </c>
      <c r="F50" s="6" t="s">
        <v>16</v>
      </c>
      <c r="G50" s="6" t="s">
        <v>16</v>
      </c>
      <c r="H50" s="6" t="s">
        <v>16</v>
      </c>
      <c r="I50" s="6" t="s">
        <v>16</v>
      </c>
      <c r="J50" s="6" t="s">
        <v>16</v>
      </c>
      <c r="K50" s="6" t="s">
        <v>16</v>
      </c>
      <c r="L50" s="6" t="s">
        <v>16</v>
      </c>
      <c r="M50" s="6" t="s">
        <v>16</v>
      </c>
      <c r="N50" s="6" t="s">
        <v>16</v>
      </c>
      <c r="O50" s="30">
        <f t="shared" si="0"/>
        <v>0</v>
      </c>
      <c r="P50" s="6" t="s">
        <v>16</v>
      </c>
      <c r="Q50" s="6" t="s">
        <v>16</v>
      </c>
      <c r="R50" s="6" t="s">
        <v>9</v>
      </c>
      <c r="S50" s="43" t="s">
        <v>9</v>
      </c>
      <c r="T50" s="6" t="s">
        <v>9</v>
      </c>
      <c r="U50" s="30">
        <f t="shared" si="1"/>
        <v>3</v>
      </c>
      <c r="V50" s="6" t="s">
        <v>23</v>
      </c>
      <c r="W50" s="6" t="s">
        <v>9</v>
      </c>
      <c r="X50" s="6" t="s">
        <v>9</v>
      </c>
      <c r="Y50" s="6" t="s">
        <v>9</v>
      </c>
      <c r="Z50" s="6" t="s">
        <v>9</v>
      </c>
      <c r="AA50" s="6" t="s">
        <v>9</v>
      </c>
      <c r="AB50" s="6" t="s">
        <v>9</v>
      </c>
      <c r="AD50" s="30">
        <f t="shared" si="2"/>
        <v>6</v>
      </c>
      <c r="AE50" s="38" t="s">
        <v>17</v>
      </c>
      <c r="AF50" s="13" t="s">
        <v>188</v>
      </c>
      <c r="AG50" s="2" t="s">
        <v>18</v>
      </c>
    </row>
    <row r="51" spans="1:34" x14ac:dyDescent="0.25">
      <c r="A51" s="2" t="s">
        <v>223</v>
      </c>
      <c r="B51" s="21"/>
      <c r="C51" s="6" t="s">
        <v>210</v>
      </c>
      <c r="D51" s="24" t="s">
        <v>20</v>
      </c>
      <c r="E51" s="24" t="s">
        <v>211</v>
      </c>
      <c r="O51" s="30">
        <f t="shared" si="0"/>
        <v>0</v>
      </c>
      <c r="P51" s="6" t="s">
        <v>34</v>
      </c>
      <c r="Q51" s="6" t="s">
        <v>34</v>
      </c>
      <c r="R51" s="6" t="s">
        <v>34</v>
      </c>
      <c r="S51" s="6" t="s">
        <v>34</v>
      </c>
      <c r="T51" s="6" t="s">
        <v>34</v>
      </c>
      <c r="U51" s="30">
        <f t="shared" si="1"/>
        <v>0</v>
      </c>
      <c r="V51" s="8" t="s">
        <v>16</v>
      </c>
      <c r="W51" s="8" t="s">
        <v>16</v>
      </c>
      <c r="X51" s="8" t="s">
        <v>16</v>
      </c>
      <c r="Y51" s="8" t="s">
        <v>16</v>
      </c>
      <c r="Z51" s="8" t="s">
        <v>16</v>
      </c>
      <c r="AA51" s="8" t="s">
        <v>16</v>
      </c>
      <c r="AB51" s="6" t="s">
        <v>9</v>
      </c>
      <c r="AD51" s="30">
        <f t="shared" si="2"/>
        <v>1</v>
      </c>
      <c r="AE51" s="38"/>
      <c r="AF51" s="13"/>
    </row>
    <row r="52" spans="1:34" x14ac:dyDescent="0.25">
      <c r="A52" s="3" t="s">
        <v>114</v>
      </c>
      <c r="B52" s="21">
        <v>85992502845</v>
      </c>
      <c r="C52" s="6" t="s">
        <v>210</v>
      </c>
      <c r="D52" s="24" t="s">
        <v>20</v>
      </c>
      <c r="E52" s="24" t="s">
        <v>211</v>
      </c>
      <c r="F52" s="6" t="s">
        <v>9</v>
      </c>
      <c r="G52" s="6" t="s">
        <v>16</v>
      </c>
      <c r="H52" s="6" t="s">
        <v>16</v>
      </c>
      <c r="I52" s="6" t="s">
        <v>16</v>
      </c>
      <c r="J52" s="6" t="s">
        <v>16</v>
      </c>
      <c r="K52" s="6" t="s">
        <v>16</v>
      </c>
      <c r="L52" s="6" t="s">
        <v>16</v>
      </c>
      <c r="M52" s="6" t="s">
        <v>16</v>
      </c>
      <c r="N52" s="6" t="s">
        <v>9</v>
      </c>
      <c r="O52" s="30">
        <f t="shared" si="0"/>
        <v>2</v>
      </c>
      <c r="P52" s="6" t="s">
        <v>16</v>
      </c>
      <c r="Q52" s="6" t="s">
        <v>16</v>
      </c>
      <c r="R52" s="6" t="s">
        <v>9</v>
      </c>
      <c r="S52" s="43" t="s">
        <v>16</v>
      </c>
      <c r="T52" s="6" t="s">
        <v>9</v>
      </c>
      <c r="U52" s="30">
        <f t="shared" si="1"/>
        <v>2</v>
      </c>
      <c r="V52" s="8" t="s">
        <v>16</v>
      </c>
      <c r="W52" s="8" t="s">
        <v>16</v>
      </c>
      <c r="X52" s="8" t="s">
        <v>16</v>
      </c>
      <c r="Y52" s="8" t="s">
        <v>16</v>
      </c>
      <c r="Z52" s="6" t="s">
        <v>23</v>
      </c>
      <c r="AA52" s="6" t="s">
        <v>23</v>
      </c>
      <c r="AB52" s="6" t="s">
        <v>16</v>
      </c>
      <c r="AD52" s="30">
        <f t="shared" si="2"/>
        <v>0</v>
      </c>
      <c r="AE52" s="38" t="s">
        <v>17</v>
      </c>
      <c r="AF52" s="14" t="s">
        <v>190</v>
      </c>
      <c r="AG52" s="2" t="s">
        <v>18</v>
      </c>
    </row>
    <row r="53" spans="1:34" x14ac:dyDescent="0.25">
      <c r="A53" s="2" t="s">
        <v>116</v>
      </c>
      <c r="B53" s="21"/>
      <c r="C53" s="6" t="s">
        <v>210</v>
      </c>
      <c r="D53" s="24" t="s">
        <v>20</v>
      </c>
      <c r="E53" s="24" t="s">
        <v>211</v>
      </c>
      <c r="F53" s="6" t="s">
        <v>16</v>
      </c>
      <c r="G53" s="6" t="s">
        <v>16</v>
      </c>
      <c r="H53" s="6" t="s">
        <v>16</v>
      </c>
      <c r="I53" s="6" t="s">
        <v>16</v>
      </c>
      <c r="J53" s="6" t="s">
        <v>16</v>
      </c>
      <c r="K53" s="6" t="s">
        <v>9</v>
      </c>
      <c r="L53" s="6" t="s">
        <v>9</v>
      </c>
      <c r="M53" s="6" t="s">
        <v>9</v>
      </c>
      <c r="N53" s="6" t="s">
        <v>9</v>
      </c>
      <c r="O53" s="30">
        <f t="shared" si="0"/>
        <v>4</v>
      </c>
      <c r="P53" s="6" t="s">
        <v>16</v>
      </c>
      <c r="Q53" s="6" t="s">
        <v>9</v>
      </c>
      <c r="R53" s="6" t="s">
        <v>16</v>
      </c>
      <c r="S53" s="43" t="s">
        <v>9</v>
      </c>
      <c r="T53" s="6" t="s">
        <v>16</v>
      </c>
      <c r="U53" s="30">
        <f t="shared" si="1"/>
        <v>2</v>
      </c>
      <c r="V53" s="6" t="s">
        <v>16</v>
      </c>
      <c r="W53" s="6" t="s">
        <v>16</v>
      </c>
      <c r="X53" s="6" t="s">
        <v>9</v>
      </c>
      <c r="Y53" s="6" t="s">
        <v>16</v>
      </c>
      <c r="Z53" s="6" t="s">
        <v>9</v>
      </c>
      <c r="AA53" s="6" t="s">
        <v>9</v>
      </c>
      <c r="AB53" s="6" t="s">
        <v>16</v>
      </c>
      <c r="AD53" s="30">
        <f t="shared" si="2"/>
        <v>3</v>
      </c>
      <c r="AE53" s="21"/>
      <c r="AF53" s="13" t="s">
        <v>191</v>
      </c>
    </row>
    <row r="54" spans="1:34" x14ac:dyDescent="0.25">
      <c r="A54" s="3" t="s">
        <v>224</v>
      </c>
      <c r="B54" s="21">
        <v>85992372214</v>
      </c>
      <c r="C54" s="6" t="s">
        <v>210</v>
      </c>
      <c r="D54" s="24" t="s">
        <v>20</v>
      </c>
      <c r="E54" s="24" t="s">
        <v>211</v>
      </c>
      <c r="F54" s="6" t="s">
        <v>9</v>
      </c>
      <c r="G54" s="6" t="s">
        <v>16</v>
      </c>
      <c r="H54" s="6" t="s">
        <v>16</v>
      </c>
      <c r="I54" s="6" t="s">
        <v>16</v>
      </c>
      <c r="J54" s="6" t="s">
        <v>16</v>
      </c>
      <c r="K54" s="6" t="s">
        <v>9</v>
      </c>
      <c r="L54" s="6" t="s">
        <v>9</v>
      </c>
      <c r="M54" s="6" t="s">
        <v>9</v>
      </c>
      <c r="N54" s="6" t="s">
        <v>9</v>
      </c>
      <c r="O54" s="30">
        <f t="shared" si="0"/>
        <v>5</v>
      </c>
      <c r="P54" s="6" t="s">
        <v>9</v>
      </c>
      <c r="Q54" s="6" t="s">
        <v>9</v>
      </c>
      <c r="R54" s="6" t="s">
        <v>9</v>
      </c>
      <c r="S54" s="43" t="s">
        <v>9</v>
      </c>
      <c r="T54" s="6" t="s">
        <v>9</v>
      </c>
      <c r="U54" s="30">
        <f t="shared" si="1"/>
        <v>5</v>
      </c>
      <c r="V54" s="6" t="s">
        <v>9</v>
      </c>
      <c r="W54" s="6" t="s">
        <v>9</v>
      </c>
      <c r="X54" s="6" t="s">
        <v>9</v>
      </c>
      <c r="Y54" s="6" t="s">
        <v>9</v>
      </c>
      <c r="Z54" s="6" t="s">
        <v>9</v>
      </c>
      <c r="AA54" s="6" t="s">
        <v>9</v>
      </c>
      <c r="AB54" s="6" t="s">
        <v>23</v>
      </c>
      <c r="AD54" s="30">
        <f t="shared" si="2"/>
        <v>6</v>
      </c>
      <c r="AE54" s="21"/>
      <c r="AF54" s="14" t="s">
        <v>170</v>
      </c>
      <c r="AH54" s="1"/>
    </row>
    <row r="55" spans="1:34" x14ac:dyDescent="0.25">
      <c r="A55" s="2" t="s">
        <v>118</v>
      </c>
      <c r="B55" s="21">
        <v>85992991581</v>
      </c>
      <c r="C55" s="6" t="s">
        <v>210</v>
      </c>
      <c r="D55" s="24" t="s">
        <v>20</v>
      </c>
      <c r="E55" s="24" t="s">
        <v>211</v>
      </c>
      <c r="F55" s="6" t="s">
        <v>34</v>
      </c>
      <c r="G55" s="6" t="s">
        <v>34</v>
      </c>
      <c r="H55" s="6" t="s">
        <v>34</v>
      </c>
      <c r="I55" s="6" t="s">
        <v>34</v>
      </c>
      <c r="J55" s="6" t="s">
        <v>34</v>
      </c>
      <c r="K55" s="6" t="s">
        <v>34</v>
      </c>
      <c r="L55" s="6" t="s">
        <v>34</v>
      </c>
      <c r="M55" s="6" t="s">
        <v>34</v>
      </c>
      <c r="N55" s="6" t="s">
        <v>34</v>
      </c>
      <c r="O55" s="30">
        <f t="shared" si="0"/>
        <v>0</v>
      </c>
      <c r="P55" s="6" t="s">
        <v>9</v>
      </c>
      <c r="Q55" s="6" t="s">
        <v>16</v>
      </c>
      <c r="R55" s="6" t="s">
        <v>9</v>
      </c>
      <c r="S55" s="43" t="s">
        <v>9</v>
      </c>
      <c r="T55" s="6" t="s">
        <v>9</v>
      </c>
      <c r="U55" s="30">
        <f t="shared" si="1"/>
        <v>4</v>
      </c>
      <c r="V55" s="6" t="s">
        <v>9</v>
      </c>
      <c r="W55" s="6" t="s">
        <v>9</v>
      </c>
      <c r="X55" s="6" t="s">
        <v>9</v>
      </c>
      <c r="Y55" s="6" t="s">
        <v>9</v>
      </c>
      <c r="Z55" s="6" t="s">
        <v>23</v>
      </c>
      <c r="AA55" s="6" t="s">
        <v>16</v>
      </c>
      <c r="AB55" s="6" t="s">
        <v>23</v>
      </c>
      <c r="AD55" s="30">
        <f t="shared" si="2"/>
        <v>4</v>
      </c>
      <c r="AE55" s="39" t="s">
        <v>21</v>
      </c>
    </row>
    <row r="56" spans="1:34" x14ac:dyDescent="0.25">
      <c r="A56" s="2" t="s">
        <v>119</v>
      </c>
      <c r="B56" s="21">
        <v>85992443123</v>
      </c>
      <c r="C56" s="6" t="s">
        <v>210</v>
      </c>
      <c r="D56" s="24" t="s">
        <v>20</v>
      </c>
      <c r="E56" s="24" t="s">
        <v>211</v>
      </c>
      <c r="F56" s="6" t="s">
        <v>34</v>
      </c>
      <c r="G56" s="6" t="s">
        <v>34</v>
      </c>
      <c r="H56" s="6" t="s">
        <v>34</v>
      </c>
      <c r="I56" s="6" t="s">
        <v>34</v>
      </c>
      <c r="J56" s="6" t="s">
        <v>34</v>
      </c>
      <c r="K56" s="6" t="s">
        <v>34</v>
      </c>
      <c r="L56" s="6" t="s">
        <v>34</v>
      </c>
      <c r="M56" s="6" t="s">
        <v>9</v>
      </c>
      <c r="N56" s="6" t="s">
        <v>34</v>
      </c>
      <c r="O56" s="30">
        <f t="shared" si="0"/>
        <v>1</v>
      </c>
      <c r="P56" s="6" t="s">
        <v>9</v>
      </c>
      <c r="Q56" s="6" t="s">
        <v>9</v>
      </c>
      <c r="R56" s="6" t="s">
        <v>16</v>
      </c>
      <c r="S56" s="43" t="s">
        <v>16</v>
      </c>
      <c r="T56" s="6" t="s">
        <v>9</v>
      </c>
      <c r="U56" s="30">
        <f t="shared" si="1"/>
        <v>3</v>
      </c>
      <c r="V56" s="6" t="s">
        <v>9</v>
      </c>
      <c r="W56" s="6" t="s">
        <v>9</v>
      </c>
      <c r="X56" s="6" t="s">
        <v>9</v>
      </c>
      <c r="Y56" s="6" t="s">
        <v>9</v>
      </c>
      <c r="Z56" s="6" t="s">
        <v>9</v>
      </c>
      <c r="AA56" s="6" t="s">
        <v>16</v>
      </c>
      <c r="AD56" s="30">
        <f t="shared" si="2"/>
        <v>5</v>
      </c>
      <c r="AE56" s="21"/>
      <c r="AF56" s="13"/>
    </row>
    <row r="57" spans="1:34" x14ac:dyDescent="0.25">
      <c r="A57" s="2" t="s">
        <v>120</v>
      </c>
      <c r="B57" s="21">
        <v>85991152038</v>
      </c>
      <c r="C57" s="6" t="s">
        <v>210</v>
      </c>
      <c r="D57" s="24" t="s">
        <v>20</v>
      </c>
      <c r="E57" s="24" t="s">
        <v>211</v>
      </c>
      <c r="F57" s="6" t="s">
        <v>16</v>
      </c>
      <c r="G57" s="6" t="s">
        <v>16</v>
      </c>
      <c r="H57" s="6" t="s">
        <v>16</v>
      </c>
      <c r="I57" s="6" t="s">
        <v>16</v>
      </c>
      <c r="J57" s="6" t="s">
        <v>16</v>
      </c>
      <c r="K57" s="6" t="s">
        <v>16</v>
      </c>
      <c r="L57" s="6" t="s">
        <v>16</v>
      </c>
      <c r="M57" s="6" t="s">
        <v>16</v>
      </c>
      <c r="N57" s="6" t="s">
        <v>16</v>
      </c>
      <c r="O57" s="30">
        <f t="shared" si="0"/>
        <v>0</v>
      </c>
      <c r="P57" s="6" t="s">
        <v>16</v>
      </c>
      <c r="Q57" s="6" t="s">
        <v>16</v>
      </c>
      <c r="R57" s="6" t="s">
        <v>9</v>
      </c>
      <c r="S57" s="43" t="s">
        <v>9</v>
      </c>
      <c r="T57" s="6" t="s">
        <v>9</v>
      </c>
      <c r="U57" s="30">
        <f t="shared" si="1"/>
        <v>3</v>
      </c>
      <c r="V57" s="6" t="s">
        <v>9</v>
      </c>
      <c r="W57" s="6" t="s">
        <v>9</v>
      </c>
      <c r="X57" s="6" t="s">
        <v>9</v>
      </c>
      <c r="Y57" s="6" t="s">
        <v>9</v>
      </c>
      <c r="Z57" s="6" t="s">
        <v>9</v>
      </c>
      <c r="AA57" s="6" t="s">
        <v>9</v>
      </c>
      <c r="AB57" s="6" t="s">
        <v>9</v>
      </c>
      <c r="AD57" s="30">
        <f t="shared" si="2"/>
        <v>7</v>
      </c>
      <c r="AE57" s="38" t="s">
        <v>17</v>
      </c>
      <c r="AF57" s="15" t="s">
        <v>193</v>
      </c>
      <c r="AG57" s="2" t="s">
        <v>121</v>
      </c>
    </row>
    <row r="58" spans="1:34" x14ac:dyDescent="0.25">
      <c r="A58" s="2" t="s">
        <v>194</v>
      </c>
      <c r="B58" s="21"/>
      <c r="C58" s="6" t="s">
        <v>210</v>
      </c>
      <c r="D58" s="24" t="s">
        <v>20</v>
      </c>
      <c r="E58" s="24" t="s">
        <v>211</v>
      </c>
      <c r="F58" s="6" t="s">
        <v>34</v>
      </c>
      <c r="G58" s="6" t="s">
        <v>34</v>
      </c>
      <c r="H58" s="6" t="s">
        <v>34</v>
      </c>
      <c r="I58" s="6" t="s">
        <v>34</v>
      </c>
      <c r="J58" s="6" t="s">
        <v>34</v>
      </c>
      <c r="K58" s="6" t="s">
        <v>34</v>
      </c>
      <c r="L58" s="6" t="s">
        <v>34</v>
      </c>
      <c r="M58" s="6" t="s">
        <v>34</v>
      </c>
      <c r="N58" s="6" t="s">
        <v>34</v>
      </c>
      <c r="O58" s="30">
        <f t="shared" si="0"/>
        <v>0</v>
      </c>
      <c r="P58" s="6" t="s">
        <v>34</v>
      </c>
      <c r="Q58" s="6" t="s">
        <v>34</v>
      </c>
      <c r="R58" s="6" t="s">
        <v>34</v>
      </c>
      <c r="S58" s="43" t="s">
        <v>9</v>
      </c>
      <c r="T58" s="6" t="s">
        <v>16</v>
      </c>
      <c r="U58" s="30">
        <f t="shared" si="1"/>
        <v>1</v>
      </c>
      <c r="V58" s="43" t="s">
        <v>9</v>
      </c>
      <c r="W58" s="43" t="s">
        <v>9</v>
      </c>
      <c r="X58" s="6" t="s">
        <v>9</v>
      </c>
      <c r="Y58" s="6" t="s">
        <v>16</v>
      </c>
      <c r="Z58" s="6" t="s">
        <v>9</v>
      </c>
      <c r="AA58" s="6" t="s">
        <v>9</v>
      </c>
      <c r="AB58" s="6" t="s">
        <v>16</v>
      </c>
      <c r="AD58" s="30">
        <f t="shared" si="2"/>
        <v>5</v>
      </c>
      <c r="AE58" s="38"/>
      <c r="AF58" s="15"/>
    </row>
    <row r="59" spans="1:34" x14ac:dyDescent="0.25">
      <c r="A59" s="2" t="s">
        <v>195</v>
      </c>
      <c r="B59" s="21"/>
      <c r="C59" s="6" t="s">
        <v>210</v>
      </c>
      <c r="D59" s="24" t="s">
        <v>20</v>
      </c>
      <c r="E59" s="24" t="s">
        <v>211</v>
      </c>
      <c r="F59" s="6" t="s">
        <v>34</v>
      </c>
      <c r="G59" s="6" t="s">
        <v>34</v>
      </c>
      <c r="H59" s="6" t="s">
        <v>34</v>
      </c>
      <c r="I59" s="6" t="s">
        <v>34</v>
      </c>
      <c r="J59" s="6" t="s">
        <v>34</v>
      </c>
      <c r="K59" s="6" t="s">
        <v>34</v>
      </c>
      <c r="L59" s="6" t="s">
        <v>34</v>
      </c>
      <c r="M59" s="6" t="s">
        <v>34</v>
      </c>
      <c r="N59" s="6" t="s">
        <v>34</v>
      </c>
      <c r="O59" s="30">
        <f t="shared" si="0"/>
        <v>0</v>
      </c>
      <c r="P59" s="6" t="s">
        <v>34</v>
      </c>
      <c r="Q59" s="6" t="s">
        <v>34</v>
      </c>
      <c r="R59" s="6" t="s">
        <v>34</v>
      </c>
      <c r="S59" s="43" t="s">
        <v>9</v>
      </c>
      <c r="T59" s="6" t="s">
        <v>9</v>
      </c>
      <c r="U59" s="30">
        <f t="shared" si="1"/>
        <v>2</v>
      </c>
      <c r="V59" s="6" t="s">
        <v>16</v>
      </c>
      <c r="W59" s="6" t="s">
        <v>9</v>
      </c>
      <c r="X59" s="6" t="s">
        <v>9</v>
      </c>
      <c r="Y59" s="6" t="s">
        <v>16</v>
      </c>
      <c r="Z59" s="6" t="s">
        <v>9</v>
      </c>
      <c r="AA59" s="6" t="s">
        <v>16</v>
      </c>
      <c r="AB59" s="6" t="s">
        <v>16</v>
      </c>
      <c r="AD59" s="30">
        <f t="shared" si="2"/>
        <v>3</v>
      </c>
      <c r="AE59" s="21"/>
      <c r="AF59" s="14"/>
    </row>
    <row r="60" spans="1:34" s="3" customFormat="1" x14ac:dyDescent="0.25">
      <c r="A60" s="2" t="s">
        <v>123</v>
      </c>
      <c r="B60" s="21">
        <v>85999248124</v>
      </c>
      <c r="C60" s="6" t="s">
        <v>210</v>
      </c>
      <c r="D60" s="24" t="s">
        <v>20</v>
      </c>
      <c r="E60" s="24" t="s">
        <v>211</v>
      </c>
      <c r="F60" s="6" t="s">
        <v>16</v>
      </c>
      <c r="G60" s="6" t="s">
        <v>16</v>
      </c>
      <c r="H60" s="6" t="s">
        <v>16</v>
      </c>
      <c r="I60" s="6" t="s">
        <v>16</v>
      </c>
      <c r="J60" s="6" t="s">
        <v>16</v>
      </c>
      <c r="K60" s="6" t="s">
        <v>9</v>
      </c>
      <c r="L60" s="6" t="s">
        <v>9</v>
      </c>
      <c r="M60" s="6" t="s">
        <v>9</v>
      </c>
      <c r="N60" s="6" t="s">
        <v>9</v>
      </c>
      <c r="O60" s="30">
        <f t="shared" si="0"/>
        <v>4</v>
      </c>
      <c r="P60" s="6" t="s">
        <v>9</v>
      </c>
      <c r="Q60" s="6" t="s">
        <v>9</v>
      </c>
      <c r="R60" s="6" t="s">
        <v>16</v>
      </c>
      <c r="S60" s="43" t="s">
        <v>9</v>
      </c>
      <c r="T60" s="6" t="s">
        <v>16</v>
      </c>
      <c r="U60" s="30">
        <f t="shared" si="1"/>
        <v>3</v>
      </c>
      <c r="V60" s="6" t="s">
        <v>9</v>
      </c>
      <c r="W60" s="6" t="s">
        <v>16</v>
      </c>
      <c r="X60" s="6" t="s">
        <v>9</v>
      </c>
      <c r="Y60" s="6" t="s">
        <v>16</v>
      </c>
      <c r="Z60" s="6" t="s">
        <v>9</v>
      </c>
      <c r="AA60" s="6" t="s">
        <v>9</v>
      </c>
      <c r="AB60" s="6" t="s">
        <v>9</v>
      </c>
      <c r="AC60" s="6"/>
      <c r="AD60" s="30">
        <f t="shared" si="2"/>
        <v>5</v>
      </c>
      <c r="AE60" s="21"/>
      <c r="AF60" s="11" t="s">
        <v>196</v>
      </c>
      <c r="AG60" s="2"/>
      <c r="AH60" s="2"/>
    </row>
    <row r="61" spans="1:34" x14ac:dyDescent="0.25">
      <c r="A61" s="2" t="s">
        <v>125</v>
      </c>
      <c r="B61" s="21">
        <v>85992530725</v>
      </c>
      <c r="C61" s="6" t="s">
        <v>210</v>
      </c>
      <c r="D61" s="24" t="s">
        <v>20</v>
      </c>
      <c r="E61" s="24" t="s">
        <v>211</v>
      </c>
      <c r="F61" s="6" t="s">
        <v>34</v>
      </c>
      <c r="G61" s="6" t="s">
        <v>34</v>
      </c>
      <c r="H61" s="6" t="s">
        <v>34</v>
      </c>
      <c r="I61" s="6" t="s">
        <v>34</v>
      </c>
      <c r="J61" s="6" t="s">
        <v>34</v>
      </c>
      <c r="K61" s="6" t="s">
        <v>34</v>
      </c>
      <c r="L61" s="6" t="s">
        <v>34</v>
      </c>
      <c r="M61" s="6" t="s">
        <v>9</v>
      </c>
      <c r="N61" s="6" t="s">
        <v>9</v>
      </c>
      <c r="O61" s="30">
        <f t="shared" si="0"/>
        <v>2</v>
      </c>
      <c r="P61" s="6" t="s">
        <v>16</v>
      </c>
      <c r="Q61" s="6" t="s">
        <v>9</v>
      </c>
      <c r="R61" s="6" t="s">
        <v>9</v>
      </c>
      <c r="S61" s="43" t="s">
        <v>9</v>
      </c>
      <c r="T61" s="6" t="s">
        <v>9</v>
      </c>
      <c r="U61" s="30">
        <f t="shared" si="1"/>
        <v>4</v>
      </c>
      <c r="V61" s="6" t="s">
        <v>23</v>
      </c>
      <c r="W61" s="6" t="s">
        <v>9</v>
      </c>
      <c r="X61" s="6" t="s">
        <v>9</v>
      </c>
      <c r="Y61" s="6" t="s">
        <v>9</v>
      </c>
      <c r="Z61" s="6" t="s">
        <v>9</v>
      </c>
      <c r="AA61" s="6" t="s">
        <v>9</v>
      </c>
      <c r="AB61" s="6" t="s">
        <v>9</v>
      </c>
      <c r="AD61" s="30">
        <f t="shared" si="2"/>
        <v>6</v>
      </c>
      <c r="AE61" s="21"/>
      <c r="AF61" s="11"/>
    </row>
    <row r="62" spans="1:34" x14ac:dyDescent="0.25">
      <c r="A62" s="2" t="s">
        <v>127</v>
      </c>
      <c r="B62" s="21">
        <v>85992376029</v>
      </c>
      <c r="C62" s="6" t="s">
        <v>210</v>
      </c>
      <c r="D62" s="24" t="s">
        <v>20</v>
      </c>
      <c r="E62" s="24" t="s">
        <v>211</v>
      </c>
      <c r="F62" s="6" t="s">
        <v>34</v>
      </c>
      <c r="G62" s="6" t="s">
        <v>34</v>
      </c>
      <c r="H62" s="6" t="s">
        <v>34</v>
      </c>
      <c r="I62" s="6" t="s">
        <v>34</v>
      </c>
      <c r="J62" s="6" t="s">
        <v>34</v>
      </c>
      <c r="K62" s="6" t="s">
        <v>34</v>
      </c>
      <c r="L62" s="6" t="s">
        <v>34</v>
      </c>
      <c r="M62" s="6" t="s">
        <v>34</v>
      </c>
      <c r="N62" s="6" t="s">
        <v>34</v>
      </c>
      <c r="O62" s="30">
        <f t="shared" si="0"/>
        <v>0</v>
      </c>
      <c r="P62" s="6" t="s">
        <v>9</v>
      </c>
      <c r="Q62" s="6" t="s">
        <v>16</v>
      </c>
      <c r="R62" s="6" t="s">
        <v>9</v>
      </c>
      <c r="S62" s="43" t="s">
        <v>9</v>
      </c>
      <c r="T62" s="6" t="s">
        <v>9</v>
      </c>
      <c r="U62" s="30">
        <f t="shared" si="1"/>
        <v>4</v>
      </c>
      <c r="V62" s="6" t="s">
        <v>9</v>
      </c>
      <c r="W62" s="6" t="s">
        <v>9</v>
      </c>
      <c r="X62" s="6" t="s">
        <v>9</v>
      </c>
      <c r="Y62" s="6" t="s">
        <v>9</v>
      </c>
      <c r="Z62" s="6" t="s">
        <v>23</v>
      </c>
      <c r="AA62" s="6" t="s">
        <v>16</v>
      </c>
      <c r="AB62" s="6" t="s">
        <v>9</v>
      </c>
      <c r="AD62" s="30">
        <f t="shared" si="2"/>
        <v>5</v>
      </c>
      <c r="AE62" s="39" t="s">
        <v>21</v>
      </c>
    </row>
    <row r="63" spans="1:34" x14ac:dyDescent="0.25">
      <c r="A63" s="2" t="s">
        <v>129</v>
      </c>
      <c r="B63" s="21">
        <v>85992195726</v>
      </c>
      <c r="C63" s="6" t="s">
        <v>210</v>
      </c>
      <c r="D63" s="24" t="s">
        <v>20</v>
      </c>
      <c r="E63" s="24" t="s">
        <v>211</v>
      </c>
      <c r="F63" s="6" t="s">
        <v>9</v>
      </c>
      <c r="G63" s="6" t="s">
        <v>16</v>
      </c>
      <c r="H63" s="6" t="s">
        <v>16</v>
      </c>
      <c r="I63" s="6" t="s">
        <v>16</v>
      </c>
      <c r="J63" s="6" t="s">
        <v>16</v>
      </c>
      <c r="K63" s="6" t="s">
        <v>9</v>
      </c>
      <c r="L63" s="6" t="s">
        <v>9</v>
      </c>
      <c r="M63" s="6" t="s">
        <v>9</v>
      </c>
      <c r="N63" s="6" t="s">
        <v>9</v>
      </c>
      <c r="O63" s="30">
        <f t="shared" si="0"/>
        <v>5</v>
      </c>
      <c r="P63" s="6" t="s">
        <v>9</v>
      </c>
      <c r="Q63" s="6" t="s">
        <v>9</v>
      </c>
      <c r="R63" s="6" t="s">
        <v>9</v>
      </c>
      <c r="S63" s="43" t="s">
        <v>9</v>
      </c>
      <c r="T63" s="6" t="s">
        <v>9</v>
      </c>
      <c r="U63" s="30">
        <f t="shared" si="1"/>
        <v>5</v>
      </c>
      <c r="V63" s="6" t="s">
        <v>9</v>
      </c>
      <c r="W63" s="6" t="s">
        <v>9</v>
      </c>
      <c r="X63" s="6" t="s">
        <v>9</v>
      </c>
      <c r="Y63" s="6" t="s">
        <v>9</v>
      </c>
      <c r="Z63" s="79" t="s">
        <v>9</v>
      </c>
      <c r="AA63" s="6" t="s">
        <v>9</v>
      </c>
      <c r="AB63" s="6" t="s">
        <v>9</v>
      </c>
      <c r="AD63" s="30">
        <f t="shared" si="2"/>
        <v>7</v>
      </c>
      <c r="AE63" s="21"/>
      <c r="AF63" s="14" t="s">
        <v>171</v>
      </c>
    </row>
    <row r="64" spans="1:34" x14ac:dyDescent="0.25">
      <c r="A64" s="2" t="s">
        <v>130</v>
      </c>
      <c r="B64" s="21">
        <v>85987952726</v>
      </c>
      <c r="C64" s="6" t="s">
        <v>210</v>
      </c>
      <c r="D64" s="24" t="s">
        <v>20</v>
      </c>
      <c r="E64" s="24" t="s">
        <v>211</v>
      </c>
      <c r="F64" s="6" t="s">
        <v>34</v>
      </c>
      <c r="G64" s="6" t="s">
        <v>34</v>
      </c>
      <c r="H64" s="6" t="s">
        <v>34</v>
      </c>
      <c r="I64" s="6" t="s">
        <v>34</v>
      </c>
      <c r="J64" s="6" t="s">
        <v>34</v>
      </c>
      <c r="K64" s="6" t="s">
        <v>34</v>
      </c>
      <c r="L64" s="6" t="s">
        <v>34</v>
      </c>
      <c r="M64" s="6" t="s">
        <v>34</v>
      </c>
      <c r="N64" s="6" t="s">
        <v>34</v>
      </c>
      <c r="O64" s="30">
        <f t="shared" si="0"/>
        <v>0</v>
      </c>
      <c r="P64" s="6" t="s">
        <v>34</v>
      </c>
      <c r="Q64" s="6" t="s">
        <v>34</v>
      </c>
      <c r="R64" s="6" t="s">
        <v>9</v>
      </c>
      <c r="S64" s="43" t="s">
        <v>9</v>
      </c>
      <c r="T64" s="6" t="s">
        <v>9</v>
      </c>
      <c r="U64" s="30">
        <f t="shared" si="1"/>
        <v>3</v>
      </c>
      <c r="V64" s="6" t="s">
        <v>9</v>
      </c>
      <c r="W64" s="6" t="s">
        <v>9</v>
      </c>
      <c r="X64" s="6" t="s">
        <v>9</v>
      </c>
      <c r="Y64" s="6" t="s">
        <v>9</v>
      </c>
      <c r="Z64" s="6" t="s">
        <v>9</v>
      </c>
      <c r="AA64" s="6" t="s">
        <v>9</v>
      </c>
      <c r="AB64" s="6" t="s">
        <v>9</v>
      </c>
      <c r="AD64" s="30">
        <f t="shared" si="2"/>
        <v>7</v>
      </c>
    </row>
    <row r="65" spans="1:34" s="51" customFormat="1" x14ac:dyDescent="0.25">
      <c r="A65" s="2" t="s">
        <v>131</v>
      </c>
      <c r="B65" s="21"/>
      <c r="C65" s="6" t="s">
        <v>210</v>
      </c>
      <c r="D65" s="24" t="s">
        <v>20</v>
      </c>
      <c r="E65" s="24" t="s">
        <v>211</v>
      </c>
      <c r="F65" s="6" t="s">
        <v>16</v>
      </c>
      <c r="G65" s="6" t="s">
        <v>16</v>
      </c>
      <c r="H65" s="6" t="s">
        <v>16</v>
      </c>
      <c r="I65" s="6" t="s">
        <v>16</v>
      </c>
      <c r="J65" s="6" t="s">
        <v>16</v>
      </c>
      <c r="K65" s="6" t="s">
        <v>16</v>
      </c>
      <c r="L65" s="6" t="s">
        <v>16</v>
      </c>
      <c r="M65" s="6" t="s">
        <v>16</v>
      </c>
      <c r="N65" s="6" t="s">
        <v>9</v>
      </c>
      <c r="O65" s="30">
        <f t="shared" si="0"/>
        <v>1</v>
      </c>
      <c r="P65" s="6" t="s">
        <v>16</v>
      </c>
      <c r="Q65" s="6" t="s">
        <v>9</v>
      </c>
      <c r="R65" s="6" t="s">
        <v>9</v>
      </c>
      <c r="S65" s="43" t="s">
        <v>9</v>
      </c>
      <c r="T65" s="6" t="s">
        <v>9</v>
      </c>
      <c r="U65" s="30">
        <f t="shared" si="1"/>
        <v>4</v>
      </c>
      <c r="V65" s="6" t="s">
        <v>23</v>
      </c>
      <c r="W65" s="6" t="s">
        <v>9</v>
      </c>
      <c r="X65" s="6" t="s">
        <v>23</v>
      </c>
      <c r="Y65" s="6" t="s">
        <v>9</v>
      </c>
      <c r="Z65" s="6" t="s">
        <v>16</v>
      </c>
      <c r="AA65" s="6" t="s">
        <v>9</v>
      </c>
      <c r="AB65" s="6"/>
      <c r="AC65" s="6"/>
      <c r="AD65" s="30">
        <f t="shared" si="2"/>
        <v>3</v>
      </c>
      <c r="AE65" s="21"/>
      <c r="AF65" s="13" t="s">
        <v>191</v>
      </c>
      <c r="AG65" s="2"/>
      <c r="AH65" s="2"/>
    </row>
    <row r="66" spans="1:34" x14ac:dyDescent="0.25">
      <c r="A66" s="3" t="s">
        <v>132</v>
      </c>
      <c r="B66" s="21">
        <v>85992459844</v>
      </c>
      <c r="C66" s="6" t="s">
        <v>210</v>
      </c>
      <c r="D66" s="24" t="s">
        <v>20</v>
      </c>
      <c r="E66" s="24" t="s">
        <v>211</v>
      </c>
      <c r="F66" s="6" t="s">
        <v>9</v>
      </c>
      <c r="G66" s="6" t="s">
        <v>9</v>
      </c>
      <c r="H66" s="6" t="s">
        <v>9</v>
      </c>
      <c r="I66" s="6" t="s">
        <v>9</v>
      </c>
      <c r="J66" s="6" t="s">
        <v>9</v>
      </c>
      <c r="K66" s="6" t="s">
        <v>9</v>
      </c>
      <c r="L66" s="6" t="s">
        <v>16</v>
      </c>
      <c r="M66" s="6" t="s">
        <v>16</v>
      </c>
      <c r="N66" s="6" t="s">
        <v>9</v>
      </c>
      <c r="O66" s="30">
        <f t="shared" si="0"/>
        <v>7</v>
      </c>
      <c r="P66" s="6" t="s">
        <v>9</v>
      </c>
      <c r="Q66" s="6" t="s">
        <v>9</v>
      </c>
      <c r="R66" s="6" t="s">
        <v>16</v>
      </c>
      <c r="S66" s="43" t="s">
        <v>9</v>
      </c>
      <c r="T66" s="6" t="s">
        <v>9</v>
      </c>
      <c r="U66" s="30">
        <f t="shared" si="1"/>
        <v>4</v>
      </c>
      <c r="V66" s="6" t="s">
        <v>16</v>
      </c>
      <c r="W66" s="6" t="s">
        <v>9</v>
      </c>
      <c r="X66" s="6" t="s">
        <v>9</v>
      </c>
      <c r="Y66" s="6" t="s">
        <v>9</v>
      </c>
      <c r="Z66" s="6" t="s">
        <v>16</v>
      </c>
      <c r="AA66" s="6" t="s">
        <v>23</v>
      </c>
      <c r="AB66" s="6" t="s">
        <v>16</v>
      </c>
      <c r="AD66" s="30">
        <f t="shared" si="2"/>
        <v>3</v>
      </c>
      <c r="AE66" s="21"/>
      <c r="AF66" s="14" t="s">
        <v>170</v>
      </c>
    </row>
    <row r="67" spans="1:34" x14ac:dyDescent="0.25">
      <c r="A67" s="2" t="s">
        <v>200</v>
      </c>
      <c r="B67" s="21"/>
      <c r="C67" s="6" t="s">
        <v>210</v>
      </c>
      <c r="D67" s="24" t="s">
        <v>20</v>
      </c>
      <c r="E67" s="24" t="s">
        <v>211</v>
      </c>
      <c r="F67" s="6" t="s">
        <v>34</v>
      </c>
      <c r="G67" s="6" t="s">
        <v>34</v>
      </c>
      <c r="H67" s="6" t="s">
        <v>34</v>
      </c>
      <c r="I67" s="6" t="s">
        <v>34</v>
      </c>
      <c r="J67" s="6" t="s">
        <v>34</v>
      </c>
      <c r="K67" s="6" t="s">
        <v>34</v>
      </c>
      <c r="L67" s="6" t="s">
        <v>34</v>
      </c>
      <c r="M67" s="6" t="s">
        <v>34</v>
      </c>
      <c r="N67" s="6" t="s">
        <v>34</v>
      </c>
      <c r="O67" s="30">
        <f t="shared" ref="O67:O130" si="3">COUNTIF(F67:N67,"P")</f>
        <v>0</v>
      </c>
      <c r="P67" s="6" t="s">
        <v>34</v>
      </c>
      <c r="Q67" s="6" t="s">
        <v>34</v>
      </c>
      <c r="R67" s="8" t="s">
        <v>9</v>
      </c>
      <c r="S67" s="43" t="s">
        <v>16</v>
      </c>
      <c r="T67" s="6" t="s">
        <v>16</v>
      </c>
      <c r="U67" s="30">
        <f t="shared" ref="U67:U130" si="4">COUNTIF(P67:T67,"P")</f>
        <v>1</v>
      </c>
      <c r="V67" s="8" t="s">
        <v>16</v>
      </c>
      <c r="W67" s="8" t="s">
        <v>16</v>
      </c>
      <c r="X67" s="8" t="s">
        <v>16</v>
      </c>
      <c r="Y67" s="8" t="s">
        <v>16</v>
      </c>
      <c r="Z67" s="82" t="s">
        <v>9</v>
      </c>
      <c r="AA67" s="6" t="s">
        <v>9</v>
      </c>
      <c r="AB67" s="6" t="s">
        <v>16</v>
      </c>
      <c r="AD67" s="30">
        <f t="shared" ref="AD67:AD130" si="5">COUNTIF(V67:AC67,"P")</f>
        <v>2</v>
      </c>
      <c r="AE67" s="38"/>
      <c r="AF67" s="15"/>
    </row>
    <row r="68" spans="1:34" x14ac:dyDescent="0.25">
      <c r="A68" s="2" t="s">
        <v>135</v>
      </c>
      <c r="B68" s="21">
        <v>85997400964</v>
      </c>
      <c r="C68" s="6" t="s">
        <v>210</v>
      </c>
      <c r="D68" s="24" t="s">
        <v>20</v>
      </c>
      <c r="E68" s="24" t="s">
        <v>211</v>
      </c>
      <c r="F68" s="6" t="s">
        <v>9</v>
      </c>
      <c r="G68" s="6" t="s">
        <v>9</v>
      </c>
      <c r="H68" s="6" t="s">
        <v>9</v>
      </c>
      <c r="I68" s="6" t="s">
        <v>9</v>
      </c>
      <c r="J68" s="6" t="s">
        <v>9</v>
      </c>
      <c r="K68" s="6" t="s">
        <v>9</v>
      </c>
      <c r="L68" s="6" t="s">
        <v>9</v>
      </c>
      <c r="M68" s="6" t="s">
        <v>9</v>
      </c>
      <c r="N68" s="6" t="s">
        <v>9</v>
      </c>
      <c r="O68" s="30">
        <f t="shared" si="3"/>
        <v>9</v>
      </c>
      <c r="P68" s="6" t="s">
        <v>9</v>
      </c>
      <c r="Q68" s="6" t="s">
        <v>9</v>
      </c>
      <c r="R68" s="6" t="s">
        <v>9</v>
      </c>
      <c r="S68" s="43" t="s">
        <v>9</v>
      </c>
      <c r="T68" s="6" t="s">
        <v>9</v>
      </c>
      <c r="U68" s="30">
        <f t="shared" si="4"/>
        <v>5</v>
      </c>
      <c r="V68" s="6" t="s">
        <v>23</v>
      </c>
      <c r="W68" s="6" t="s">
        <v>23</v>
      </c>
      <c r="X68" s="6" t="s">
        <v>9</v>
      </c>
      <c r="Y68" s="6" t="s">
        <v>9</v>
      </c>
      <c r="Z68" s="6" t="s">
        <v>9</v>
      </c>
      <c r="AA68" s="6" t="s">
        <v>9</v>
      </c>
      <c r="AB68" s="6" t="s">
        <v>9</v>
      </c>
      <c r="AD68" s="30">
        <f t="shared" si="5"/>
        <v>5</v>
      </c>
      <c r="AE68" s="21"/>
      <c r="AF68" s="14" t="s">
        <v>201</v>
      </c>
      <c r="AH68" s="55"/>
    </row>
    <row r="69" spans="1:34" x14ac:dyDescent="0.25">
      <c r="A69" s="2" t="s">
        <v>137</v>
      </c>
      <c r="B69" s="21">
        <v>85992107868</v>
      </c>
      <c r="C69" s="6" t="s">
        <v>210</v>
      </c>
      <c r="D69" s="24" t="s">
        <v>20</v>
      </c>
      <c r="E69" s="24" t="s">
        <v>211</v>
      </c>
      <c r="F69" s="6" t="s">
        <v>34</v>
      </c>
      <c r="G69" s="6" t="s">
        <v>34</v>
      </c>
      <c r="H69" s="6" t="s">
        <v>34</v>
      </c>
      <c r="I69" s="6" t="s">
        <v>34</v>
      </c>
      <c r="J69" s="6" t="s">
        <v>34</v>
      </c>
      <c r="K69" s="6" t="s">
        <v>34</v>
      </c>
      <c r="L69" s="6" t="s">
        <v>34</v>
      </c>
      <c r="M69" s="6" t="s">
        <v>34</v>
      </c>
      <c r="N69" s="6" t="s">
        <v>34</v>
      </c>
      <c r="O69" s="30">
        <f t="shared" si="3"/>
        <v>0</v>
      </c>
      <c r="P69" s="6" t="s">
        <v>9</v>
      </c>
      <c r="Q69" s="6" t="s">
        <v>9</v>
      </c>
      <c r="R69" s="6" t="s">
        <v>9</v>
      </c>
      <c r="S69" s="43" t="s">
        <v>9</v>
      </c>
      <c r="T69" s="6" t="s">
        <v>9</v>
      </c>
      <c r="U69" s="30">
        <f t="shared" si="4"/>
        <v>5</v>
      </c>
      <c r="V69" s="6" t="s">
        <v>9</v>
      </c>
      <c r="W69" s="6" t="s">
        <v>9</v>
      </c>
      <c r="X69" s="6" t="s">
        <v>16</v>
      </c>
      <c r="Y69" s="6" t="s">
        <v>9</v>
      </c>
      <c r="Z69" s="6" t="s">
        <v>16</v>
      </c>
      <c r="AA69" s="6" t="s">
        <v>9</v>
      </c>
      <c r="AB69" s="6" t="s">
        <v>9</v>
      </c>
      <c r="AD69" s="30">
        <f t="shared" si="5"/>
        <v>5</v>
      </c>
      <c r="AE69" s="21"/>
    </row>
    <row r="70" spans="1:34" x14ac:dyDescent="0.25">
      <c r="A70" s="2" t="s">
        <v>139</v>
      </c>
      <c r="B70" s="21">
        <v>85999382647</v>
      </c>
      <c r="C70" s="6" t="s">
        <v>210</v>
      </c>
      <c r="D70" s="24" t="s">
        <v>20</v>
      </c>
      <c r="E70" s="24" t="s">
        <v>211</v>
      </c>
      <c r="F70" s="6" t="s">
        <v>9</v>
      </c>
      <c r="G70" s="6" t="s">
        <v>9</v>
      </c>
      <c r="H70" s="6" t="s">
        <v>9</v>
      </c>
      <c r="I70" s="6" t="s">
        <v>9</v>
      </c>
      <c r="J70" s="6" t="s">
        <v>9</v>
      </c>
      <c r="K70" s="6" t="s">
        <v>9</v>
      </c>
      <c r="L70" s="6" t="s">
        <v>9</v>
      </c>
      <c r="M70" s="6" t="s">
        <v>9</v>
      </c>
      <c r="N70" s="6" t="s">
        <v>9</v>
      </c>
      <c r="O70" s="30">
        <f t="shared" si="3"/>
        <v>9</v>
      </c>
      <c r="P70" s="6" t="s">
        <v>9</v>
      </c>
      <c r="Q70" s="6" t="s">
        <v>9</v>
      </c>
      <c r="R70" s="6" t="s">
        <v>9</v>
      </c>
      <c r="S70" s="43" t="s">
        <v>9</v>
      </c>
      <c r="T70" s="6" t="s">
        <v>9</v>
      </c>
      <c r="U70" s="30">
        <f t="shared" si="4"/>
        <v>5</v>
      </c>
      <c r="V70" s="6" t="s">
        <v>9</v>
      </c>
      <c r="W70" s="6" t="s">
        <v>9</v>
      </c>
      <c r="X70" s="6" t="s">
        <v>9</v>
      </c>
      <c r="Y70" s="6" t="s">
        <v>16</v>
      </c>
      <c r="Z70" s="6" t="s">
        <v>9</v>
      </c>
      <c r="AA70" s="6" t="s">
        <v>9</v>
      </c>
      <c r="AD70" s="30">
        <f t="shared" si="5"/>
        <v>5</v>
      </c>
      <c r="AE70" s="21"/>
      <c r="AF70" s="12" t="s">
        <v>173</v>
      </c>
    </row>
    <row r="71" spans="1:34" x14ac:dyDescent="0.25">
      <c r="A71" s="2" t="s">
        <v>202</v>
      </c>
      <c r="B71" s="21"/>
      <c r="C71" s="6" t="s">
        <v>210</v>
      </c>
      <c r="D71" s="24" t="s">
        <v>20</v>
      </c>
      <c r="E71" s="24" t="s">
        <v>211</v>
      </c>
      <c r="F71" s="6" t="s">
        <v>34</v>
      </c>
      <c r="G71" s="6" t="s">
        <v>34</v>
      </c>
      <c r="H71" s="6" t="s">
        <v>34</v>
      </c>
      <c r="I71" s="6" t="s">
        <v>34</v>
      </c>
      <c r="J71" s="6" t="s">
        <v>34</v>
      </c>
      <c r="K71" s="6" t="s">
        <v>34</v>
      </c>
      <c r="L71" s="6" t="s">
        <v>34</v>
      </c>
      <c r="M71" s="6" t="s">
        <v>34</v>
      </c>
      <c r="N71" s="6" t="s">
        <v>34</v>
      </c>
      <c r="O71" s="30">
        <f t="shared" si="3"/>
        <v>0</v>
      </c>
      <c r="P71" s="6" t="s">
        <v>34</v>
      </c>
      <c r="Q71" s="6" t="s">
        <v>34</v>
      </c>
      <c r="R71" s="6" t="s">
        <v>34</v>
      </c>
      <c r="S71" s="43" t="s">
        <v>9</v>
      </c>
      <c r="T71" s="6" t="s">
        <v>9</v>
      </c>
      <c r="U71" s="30">
        <f t="shared" si="4"/>
        <v>2</v>
      </c>
      <c r="V71" s="6" t="s">
        <v>16</v>
      </c>
      <c r="W71" s="6" t="s">
        <v>9</v>
      </c>
      <c r="X71" s="6" t="s">
        <v>16</v>
      </c>
      <c r="Y71" s="6" t="s">
        <v>9</v>
      </c>
      <c r="Z71" s="6" t="s">
        <v>9</v>
      </c>
      <c r="AA71" s="6" t="s">
        <v>9</v>
      </c>
      <c r="AB71" s="6" t="s">
        <v>9</v>
      </c>
      <c r="AD71" s="30">
        <f t="shared" si="5"/>
        <v>5</v>
      </c>
      <c r="AE71" s="21"/>
      <c r="AF71" s="12"/>
    </row>
    <row r="72" spans="1:34" x14ac:dyDescent="0.25">
      <c r="A72" s="2" t="s">
        <v>140</v>
      </c>
      <c r="B72" s="21">
        <v>85994265274</v>
      </c>
      <c r="C72" s="6" t="s">
        <v>210</v>
      </c>
      <c r="D72" s="24" t="s">
        <v>20</v>
      </c>
      <c r="E72" s="24" t="s">
        <v>211</v>
      </c>
      <c r="F72" s="6" t="s">
        <v>34</v>
      </c>
      <c r="G72" s="6" t="s">
        <v>34</v>
      </c>
      <c r="H72" s="6" t="s">
        <v>34</v>
      </c>
      <c r="I72" s="6" t="s">
        <v>34</v>
      </c>
      <c r="J72" s="6" t="s">
        <v>34</v>
      </c>
      <c r="K72" s="6" t="s">
        <v>34</v>
      </c>
      <c r="L72" s="6" t="s">
        <v>34</v>
      </c>
      <c r="M72" s="6" t="s">
        <v>34</v>
      </c>
      <c r="N72" s="6" t="s">
        <v>34</v>
      </c>
      <c r="O72" s="30">
        <f t="shared" si="3"/>
        <v>0</v>
      </c>
      <c r="P72" s="6" t="s">
        <v>34</v>
      </c>
      <c r="Q72" s="6" t="s">
        <v>34</v>
      </c>
      <c r="R72" s="6" t="s">
        <v>9</v>
      </c>
      <c r="S72" s="43" t="s">
        <v>9</v>
      </c>
      <c r="T72" s="6" t="s">
        <v>16</v>
      </c>
      <c r="U72" s="30">
        <f t="shared" si="4"/>
        <v>2</v>
      </c>
      <c r="V72" s="6" t="s">
        <v>9</v>
      </c>
      <c r="W72" s="6" t="s">
        <v>9</v>
      </c>
      <c r="X72" s="6" t="s">
        <v>9</v>
      </c>
      <c r="Y72" s="6" t="s">
        <v>9</v>
      </c>
      <c r="Z72" s="6" t="s">
        <v>9</v>
      </c>
      <c r="AA72" s="6" t="s">
        <v>9</v>
      </c>
      <c r="AB72" s="6" t="s">
        <v>9</v>
      </c>
      <c r="AD72" s="30">
        <f t="shared" si="5"/>
        <v>7</v>
      </c>
    </row>
    <row r="73" spans="1:34" x14ac:dyDescent="0.25">
      <c r="A73" s="2" t="s">
        <v>141</v>
      </c>
      <c r="B73" s="21"/>
      <c r="C73" s="6" t="s">
        <v>210</v>
      </c>
      <c r="D73" s="24" t="s">
        <v>20</v>
      </c>
      <c r="E73" s="24" t="s">
        <v>211</v>
      </c>
      <c r="F73" s="6" t="s">
        <v>34</v>
      </c>
      <c r="G73" s="6" t="s">
        <v>34</v>
      </c>
      <c r="H73" s="6" t="s">
        <v>34</v>
      </c>
      <c r="I73" s="6" t="s">
        <v>34</v>
      </c>
      <c r="J73" s="6" t="s">
        <v>34</v>
      </c>
      <c r="K73" s="6" t="s">
        <v>34</v>
      </c>
      <c r="L73" s="6" t="s">
        <v>34</v>
      </c>
      <c r="M73" s="6" t="s">
        <v>9</v>
      </c>
      <c r="N73" s="6" t="s">
        <v>9</v>
      </c>
      <c r="O73" s="30">
        <f t="shared" si="3"/>
        <v>2</v>
      </c>
      <c r="P73" s="6" t="s">
        <v>9</v>
      </c>
      <c r="Q73" s="6" t="s">
        <v>9</v>
      </c>
      <c r="R73" s="6" t="s">
        <v>9</v>
      </c>
      <c r="S73" s="43" t="s">
        <v>9</v>
      </c>
      <c r="T73" s="6" t="s">
        <v>9</v>
      </c>
      <c r="U73" s="30">
        <f t="shared" si="4"/>
        <v>5</v>
      </c>
      <c r="V73" s="6" t="s">
        <v>9</v>
      </c>
      <c r="W73" s="6" t="s">
        <v>9</v>
      </c>
      <c r="X73" s="6" t="s">
        <v>9</v>
      </c>
      <c r="Y73" s="6" t="s">
        <v>9</v>
      </c>
      <c r="Z73" s="6" t="s">
        <v>9</v>
      </c>
      <c r="AA73" s="6" t="s">
        <v>9</v>
      </c>
      <c r="AB73" s="6" t="s">
        <v>9</v>
      </c>
      <c r="AD73" s="30">
        <f t="shared" si="5"/>
        <v>7</v>
      </c>
      <c r="AE73" s="21"/>
      <c r="AF73" s="10"/>
    </row>
    <row r="74" spans="1:34" x14ac:dyDescent="0.25">
      <c r="A74" s="2" t="s">
        <v>142</v>
      </c>
      <c r="B74" s="21">
        <v>85989943568</v>
      </c>
      <c r="C74" s="6" t="s">
        <v>210</v>
      </c>
      <c r="D74" s="24" t="s">
        <v>20</v>
      </c>
      <c r="E74" s="24" t="s">
        <v>211</v>
      </c>
      <c r="F74" s="6" t="s">
        <v>16</v>
      </c>
      <c r="G74" s="6" t="s">
        <v>16</v>
      </c>
      <c r="H74" s="6" t="s">
        <v>16</v>
      </c>
      <c r="I74" s="6" t="s">
        <v>16</v>
      </c>
      <c r="J74" s="6" t="s">
        <v>16</v>
      </c>
      <c r="K74" s="6" t="s">
        <v>9</v>
      </c>
      <c r="L74" s="6" t="s">
        <v>9</v>
      </c>
      <c r="M74" s="6" t="s">
        <v>9</v>
      </c>
      <c r="N74" s="6" t="s">
        <v>16</v>
      </c>
      <c r="O74" s="30">
        <f t="shared" si="3"/>
        <v>3</v>
      </c>
      <c r="P74" s="6" t="s">
        <v>16</v>
      </c>
      <c r="Q74" s="6" t="s">
        <v>9</v>
      </c>
      <c r="R74" s="6" t="s">
        <v>9</v>
      </c>
      <c r="S74" s="43" t="s">
        <v>9</v>
      </c>
      <c r="T74" s="6" t="s">
        <v>9</v>
      </c>
      <c r="U74" s="30">
        <f t="shared" si="4"/>
        <v>4</v>
      </c>
      <c r="V74" s="6" t="s">
        <v>9</v>
      </c>
      <c r="W74" s="6" t="s">
        <v>16</v>
      </c>
      <c r="X74" s="6" t="s">
        <v>9</v>
      </c>
      <c r="Y74" s="6" t="s">
        <v>9</v>
      </c>
      <c r="Z74" s="6" t="s">
        <v>9</v>
      </c>
      <c r="AA74" s="6" t="s">
        <v>9</v>
      </c>
      <c r="AB74" s="6" t="s">
        <v>16</v>
      </c>
      <c r="AD74" s="30">
        <f t="shared" si="5"/>
        <v>5</v>
      </c>
      <c r="AE74" s="21"/>
      <c r="AF74" s="10" t="s">
        <v>173</v>
      </c>
    </row>
    <row r="75" spans="1:34" x14ac:dyDescent="0.25">
      <c r="A75" s="2" t="s">
        <v>143</v>
      </c>
      <c r="B75" s="21">
        <v>85985984799</v>
      </c>
      <c r="C75" s="6" t="s">
        <v>210</v>
      </c>
      <c r="D75" s="24" t="s">
        <v>20</v>
      </c>
      <c r="E75" s="24" t="s">
        <v>211</v>
      </c>
      <c r="F75" s="6" t="s">
        <v>9</v>
      </c>
      <c r="G75" s="6" t="s">
        <v>16</v>
      </c>
      <c r="H75" s="6" t="s">
        <v>9</v>
      </c>
      <c r="I75" s="6" t="s">
        <v>9</v>
      </c>
      <c r="J75" s="6" t="s">
        <v>9</v>
      </c>
      <c r="K75" s="6" t="s">
        <v>9</v>
      </c>
      <c r="L75" s="6" t="s">
        <v>16</v>
      </c>
      <c r="M75" s="6" t="s">
        <v>16</v>
      </c>
      <c r="N75" s="6" t="s">
        <v>16</v>
      </c>
      <c r="O75" s="30">
        <f t="shared" si="3"/>
        <v>5</v>
      </c>
      <c r="P75" s="6" t="s">
        <v>16</v>
      </c>
      <c r="Q75" s="6" t="s">
        <v>9</v>
      </c>
      <c r="R75" s="6" t="s">
        <v>9</v>
      </c>
      <c r="S75" s="43" t="s">
        <v>16</v>
      </c>
      <c r="T75" s="6" t="s">
        <v>9</v>
      </c>
      <c r="U75" s="30">
        <f t="shared" si="4"/>
        <v>3</v>
      </c>
      <c r="V75" s="6" t="s">
        <v>23</v>
      </c>
      <c r="W75" s="6" t="s">
        <v>9</v>
      </c>
      <c r="X75" s="8" t="s">
        <v>16</v>
      </c>
      <c r="Y75" s="8" t="s">
        <v>16</v>
      </c>
      <c r="Z75" s="6" t="s">
        <v>9</v>
      </c>
      <c r="AA75" s="6" t="s">
        <v>9</v>
      </c>
      <c r="AB75" s="6" t="s">
        <v>16</v>
      </c>
      <c r="AD75" s="30">
        <f t="shared" si="5"/>
        <v>3</v>
      </c>
      <c r="AE75" s="21"/>
      <c r="AF75" s="14" t="s">
        <v>171</v>
      </c>
    </row>
    <row r="76" spans="1:34" x14ac:dyDescent="0.25">
      <c r="A76" s="2" t="s">
        <v>146</v>
      </c>
      <c r="B76" s="21">
        <v>85981024351</v>
      </c>
      <c r="C76" s="6" t="s">
        <v>210</v>
      </c>
      <c r="D76" s="24" t="s">
        <v>20</v>
      </c>
      <c r="E76" s="24" t="s">
        <v>211</v>
      </c>
      <c r="F76" s="6" t="s">
        <v>34</v>
      </c>
      <c r="G76" s="6" t="s">
        <v>34</v>
      </c>
      <c r="H76" s="6" t="s">
        <v>34</v>
      </c>
      <c r="I76" s="6" t="s">
        <v>34</v>
      </c>
      <c r="J76" s="6" t="s">
        <v>34</v>
      </c>
      <c r="K76" s="6" t="s">
        <v>34</v>
      </c>
      <c r="L76" s="6" t="s">
        <v>34</v>
      </c>
      <c r="M76" s="6" t="s">
        <v>34</v>
      </c>
      <c r="N76" s="6" t="s">
        <v>34</v>
      </c>
      <c r="O76" s="30">
        <f t="shared" si="3"/>
        <v>0</v>
      </c>
      <c r="P76" s="6" t="s">
        <v>9</v>
      </c>
      <c r="Q76" s="6" t="s">
        <v>9</v>
      </c>
      <c r="R76" s="6" t="s">
        <v>9</v>
      </c>
      <c r="S76" s="43" t="s">
        <v>9</v>
      </c>
      <c r="T76" s="6" t="s">
        <v>9</v>
      </c>
      <c r="U76" s="30">
        <f t="shared" si="4"/>
        <v>5</v>
      </c>
      <c r="V76" s="6" t="s">
        <v>23</v>
      </c>
      <c r="W76" s="6" t="s">
        <v>9</v>
      </c>
      <c r="X76" s="6" t="s">
        <v>9</v>
      </c>
      <c r="Y76" s="6" t="s">
        <v>9</v>
      </c>
      <c r="Z76" s="6" t="s">
        <v>9</v>
      </c>
      <c r="AA76" s="6" t="s">
        <v>9</v>
      </c>
      <c r="AD76" s="30">
        <f t="shared" si="5"/>
        <v>5</v>
      </c>
      <c r="AE76" s="21"/>
    </row>
    <row r="77" spans="1:34" x14ac:dyDescent="0.25">
      <c r="A77" s="2" t="s">
        <v>225</v>
      </c>
      <c r="B77" s="21"/>
      <c r="C77" s="6" t="s">
        <v>210</v>
      </c>
      <c r="D77" s="24" t="s">
        <v>20</v>
      </c>
      <c r="E77" s="24" t="s">
        <v>211</v>
      </c>
      <c r="O77" s="30">
        <f t="shared" si="3"/>
        <v>0</v>
      </c>
      <c r="P77" s="6" t="s">
        <v>34</v>
      </c>
      <c r="Q77" s="6" t="s">
        <v>34</v>
      </c>
      <c r="R77" s="6" t="s">
        <v>34</v>
      </c>
      <c r="S77" s="6" t="s">
        <v>34</v>
      </c>
      <c r="T77" s="6" t="s">
        <v>9</v>
      </c>
      <c r="U77" s="30">
        <f t="shared" si="4"/>
        <v>1</v>
      </c>
      <c r="V77" s="6" t="s">
        <v>16</v>
      </c>
      <c r="W77" s="6" t="s">
        <v>16</v>
      </c>
      <c r="X77" s="6" t="s">
        <v>16</v>
      </c>
      <c r="Y77" s="6" t="s">
        <v>9</v>
      </c>
      <c r="Z77" s="6" t="s">
        <v>16</v>
      </c>
      <c r="AA77" s="6" t="s">
        <v>16</v>
      </c>
      <c r="AD77" s="30">
        <f t="shared" si="5"/>
        <v>1</v>
      </c>
      <c r="AE77" s="21"/>
    </row>
    <row r="78" spans="1:34" x14ac:dyDescent="0.25">
      <c r="A78" s="2" t="s">
        <v>150</v>
      </c>
      <c r="B78" s="21">
        <v>85987926558</v>
      </c>
      <c r="C78" s="6" t="s">
        <v>210</v>
      </c>
      <c r="D78" s="24" t="s">
        <v>20</v>
      </c>
      <c r="E78" s="24" t="s">
        <v>211</v>
      </c>
      <c r="F78" s="6" t="s">
        <v>34</v>
      </c>
      <c r="G78" s="6" t="s">
        <v>34</v>
      </c>
      <c r="H78" s="6" t="s">
        <v>34</v>
      </c>
      <c r="I78" s="6" t="s">
        <v>34</v>
      </c>
      <c r="J78" s="6" t="s">
        <v>34</v>
      </c>
      <c r="K78" s="6" t="s">
        <v>34</v>
      </c>
      <c r="L78" s="6" t="s">
        <v>34</v>
      </c>
      <c r="M78" s="6" t="s">
        <v>34</v>
      </c>
      <c r="N78" s="6" t="s">
        <v>34</v>
      </c>
      <c r="O78" s="30">
        <f t="shared" si="3"/>
        <v>0</v>
      </c>
      <c r="P78" s="6" t="s">
        <v>34</v>
      </c>
      <c r="Q78" s="6" t="s">
        <v>34</v>
      </c>
      <c r="R78" s="6" t="s">
        <v>9</v>
      </c>
      <c r="S78" s="43" t="s">
        <v>34</v>
      </c>
      <c r="T78" s="6" t="s">
        <v>9</v>
      </c>
      <c r="U78" s="30">
        <f t="shared" si="4"/>
        <v>2</v>
      </c>
      <c r="V78" s="6" t="s">
        <v>16</v>
      </c>
      <c r="W78" s="6" t="s">
        <v>9</v>
      </c>
      <c r="X78" s="6" t="s">
        <v>9</v>
      </c>
      <c r="Y78" s="6" t="s">
        <v>16</v>
      </c>
      <c r="Z78" s="6" t="s">
        <v>9</v>
      </c>
      <c r="AA78" s="6" t="s">
        <v>9</v>
      </c>
      <c r="AB78" s="6" t="s">
        <v>16</v>
      </c>
      <c r="AD78" s="30">
        <f t="shared" si="5"/>
        <v>4</v>
      </c>
    </row>
    <row r="79" spans="1:34" x14ac:dyDescent="0.25">
      <c r="A79" s="2" t="s">
        <v>151</v>
      </c>
      <c r="B79" s="21">
        <v>85986208608</v>
      </c>
      <c r="C79" s="6" t="s">
        <v>210</v>
      </c>
      <c r="D79" s="24" t="s">
        <v>20</v>
      </c>
      <c r="E79" s="24" t="s">
        <v>211</v>
      </c>
      <c r="F79" s="6" t="s">
        <v>9</v>
      </c>
      <c r="G79" s="6" t="s">
        <v>9</v>
      </c>
      <c r="H79" s="6" t="s">
        <v>9</v>
      </c>
      <c r="I79" s="6" t="s">
        <v>9</v>
      </c>
      <c r="J79" s="6" t="s">
        <v>9</v>
      </c>
      <c r="K79" s="6" t="s">
        <v>9</v>
      </c>
      <c r="L79" s="6" t="s">
        <v>9</v>
      </c>
      <c r="M79" s="6" t="s">
        <v>9</v>
      </c>
      <c r="N79" s="6" t="s">
        <v>9</v>
      </c>
      <c r="O79" s="30">
        <f t="shared" si="3"/>
        <v>9</v>
      </c>
      <c r="P79" s="6" t="s">
        <v>9</v>
      </c>
      <c r="Q79" s="6" t="s">
        <v>16</v>
      </c>
      <c r="R79" s="6" t="s">
        <v>9</v>
      </c>
      <c r="S79" s="43" t="s">
        <v>16</v>
      </c>
      <c r="T79" s="6" t="s">
        <v>9</v>
      </c>
      <c r="U79" s="30">
        <f t="shared" si="4"/>
        <v>3</v>
      </c>
      <c r="V79" s="6" t="s">
        <v>23</v>
      </c>
      <c r="W79" s="6" t="s">
        <v>9</v>
      </c>
      <c r="X79" s="6" t="s">
        <v>9</v>
      </c>
      <c r="Y79" s="6" t="s">
        <v>9</v>
      </c>
      <c r="Z79" s="6" t="s">
        <v>9</v>
      </c>
      <c r="AA79" s="6" t="s">
        <v>23</v>
      </c>
      <c r="AB79" s="6" t="s">
        <v>9</v>
      </c>
      <c r="AD79" s="30">
        <f t="shared" si="5"/>
        <v>5</v>
      </c>
      <c r="AE79" s="39" t="s">
        <v>21</v>
      </c>
      <c r="AF79" s="14" t="s">
        <v>171</v>
      </c>
    </row>
    <row r="80" spans="1:34" s="56" customFormat="1" ht="14.25" thickBot="1" x14ac:dyDescent="0.3">
      <c r="A80" s="56" t="s">
        <v>152</v>
      </c>
      <c r="B80" s="57"/>
      <c r="C80" s="58" t="s">
        <v>210</v>
      </c>
      <c r="D80" s="59" t="s">
        <v>20</v>
      </c>
      <c r="E80" s="59" t="s">
        <v>211</v>
      </c>
      <c r="F80" s="58" t="s">
        <v>9</v>
      </c>
      <c r="G80" s="58" t="s">
        <v>9</v>
      </c>
      <c r="H80" s="58" t="s">
        <v>9</v>
      </c>
      <c r="I80" s="58" t="s">
        <v>9</v>
      </c>
      <c r="J80" s="58" t="s">
        <v>9</v>
      </c>
      <c r="K80" s="58" t="s">
        <v>9</v>
      </c>
      <c r="L80" s="58" t="s">
        <v>16</v>
      </c>
      <c r="M80" s="58" t="s">
        <v>16</v>
      </c>
      <c r="N80" s="58" t="s">
        <v>9</v>
      </c>
      <c r="O80" s="60">
        <f t="shared" si="3"/>
        <v>7</v>
      </c>
      <c r="P80" s="58" t="s">
        <v>16</v>
      </c>
      <c r="Q80" s="58" t="s">
        <v>16</v>
      </c>
      <c r="R80" s="58" t="s">
        <v>9</v>
      </c>
      <c r="S80" s="61" t="s">
        <v>9</v>
      </c>
      <c r="T80" s="58" t="s">
        <v>9</v>
      </c>
      <c r="U80" s="60">
        <f t="shared" si="4"/>
        <v>3</v>
      </c>
      <c r="V80" s="58" t="s">
        <v>9</v>
      </c>
      <c r="W80" s="58" t="s">
        <v>9</v>
      </c>
      <c r="X80" s="58" t="s">
        <v>9</v>
      </c>
      <c r="Y80" s="58" t="s">
        <v>16</v>
      </c>
      <c r="Z80" s="58" t="s">
        <v>23</v>
      </c>
      <c r="AA80" s="58" t="s">
        <v>9</v>
      </c>
      <c r="AB80" s="58" t="s">
        <v>9</v>
      </c>
      <c r="AC80" s="58"/>
      <c r="AD80" s="60">
        <f t="shared" si="5"/>
        <v>5</v>
      </c>
      <c r="AE80" s="66" t="s">
        <v>17</v>
      </c>
      <c r="AF80" s="67" t="s">
        <v>204</v>
      </c>
      <c r="AG80" s="56" t="s">
        <v>32</v>
      </c>
    </row>
    <row r="81" spans="1:33" x14ac:dyDescent="0.25">
      <c r="A81" s="3" t="s">
        <v>22</v>
      </c>
      <c r="B81" s="21">
        <v>85999166962</v>
      </c>
      <c r="C81" s="6" t="s">
        <v>28</v>
      </c>
      <c r="D81" s="24" t="s">
        <v>226</v>
      </c>
      <c r="E81" s="24" t="s">
        <v>211</v>
      </c>
      <c r="F81" s="6" t="s">
        <v>34</v>
      </c>
      <c r="G81" s="6" t="s">
        <v>34</v>
      </c>
      <c r="H81" s="6" t="s">
        <v>34</v>
      </c>
      <c r="I81" s="6" t="s">
        <v>34</v>
      </c>
      <c r="J81" s="6" t="s">
        <v>34</v>
      </c>
      <c r="K81" s="6" t="s">
        <v>34</v>
      </c>
      <c r="L81" s="6" t="s">
        <v>34</v>
      </c>
      <c r="M81" s="6" t="s">
        <v>34</v>
      </c>
      <c r="N81" s="6" t="s">
        <v>34</v>
      </c>
      <c r="O81" s="30">
        <f t="shared" si="3"/>
        <v>0</v>
      </c>
      <c r="P81" s="6" t="s">
        <v>9</v>
      </c>
      <c r="Q81" s="6" t="s">
        <v>16</v>
      </c>
      <c r="R81" s="6" t="s">
        <v>23</v>
      </c>
      <c r="S81" s="6" t="s">
        <v>23</v>
      </c>
      <c r="T81" s="6" t="s">
        <v>9</v>
      </c>
      <c r="U81" s="30">
        <f t="shared" si="4"/>
        <v>2</v>
      </c>
      <c r="V81" s="6" t="s">
        <v>9</v>
      </c>
      <c r="W81" s="6" t="s">
        <v>9</v>
      </c>
      <c r="X81" s="6" t="s">
        <v>16</v>
      </c>
      <c r="Y81" s="79" t="s">
        <v>9</v>
      </c>
      <c r="Z81" s="6" t="s">
        <v>9</v>
      </c>
      <c r="AA81" s="82" t="s">
        <v>9</v>
      </c>
      <c r="AB81" s="79" t="s">
        <v>16</v>
      </c>
      <c r="AD81" s="30">
        <f t="shared" si="5"/>
        <v>5</v>
      </c>
      <c r="AE81" s="39" t="s">
        <v>21</v>
      </c>
    </row>
    <row r="82" spans="1:33" x14ac:dyDescent="0.25">
      <c r="A82" s="3" t="s">
        <v>227</v>
      </c>
      <c r="B82" s="21"/>
      <c r="C82" s="6" t="s">
        <v>28</v>
      </c>
      <c r="D82" s="24" t="s">
        <v>11</v>
      </c>
      <c r="E82" s="24" t="s">
        <v>211</v>
      </c>
      <c r="F82" s="6" t="s">
        <v>34</v>
      </c>
      <c r="G82" s="6" t="s">
        <v>34</v>
      </c>
      <c r="H82" s="6" t="s">
        <v>34</v>
      </c>
      <c r="I82" s="6" t="s">
        <v>34</v>
      </c>
      <c r="J82" s="6" t="s">
        <v>34</v>
      </c>
      <c r="K82" s="6" t="s">
        <v>34</v>
      </c>
      <c r="L82" s="6" t="s">
        <v>34</v>
      </c>
      <c r="M82" s="6" t="s">
        <v>34</v>
      </c>
      <c r="N82" s="6" t="s">
        <v>34</v>
      </c>
      <c r="O82" s="30">
        <f t="shared" si="3"/>
        <v>0</v>
      </c>
      <c r="P82" s="6" t="s">
        <v>34</v>
      </c>
      <c r="Q82" s="6" t="s">
        <v>34</v>
      </c>
      <c r="R82" s="6" t="s">
        <v>34</v>
      </c>
      <c r="S82" s="6" t="s">
        <v>34</v>
      </c>
      <c r="T82" s="6" t="s">
        <v>34</v>
      </c>
      <c r="U82" s="30">
        <f t="shared" si="4"/>
        <v>0</v>
      </c>
      <c r="V82" s="6" t="s">
        <v>9</v>
      </c>
      <c r="W82" s="6" t="s">
        <v>9</v>
      </c>
      <c r="X82" s="6" t="s">
        <v>9</v>
      </c>
      <c r="Y82" s="6" t="s">
        <v>9</v>
      </c>
      <c r="Z82" s="6" t="s">
        <v>16</v>
      </c>
      <c r="AA82" s="6" t="s">
        <v>16</v>
      </c>
      <c r="AB82" s="6" t="s">
        <v>9</v>
      </c>
      <c r="AD82" s="30">
        <f t="shared" si="5"/>
        <v>5</v>
      </c>
      <c r="AE82" s="39"/>
    </row>
    <row r="83" spans="1:33" x14ac:dyDescent="0.25">
      <c r="A83" s="3" t="s">
        <v>27</v>
      </c>
      <c r="B83" s="21">
        <v>85987058056</v>
      </c>
      <c r="C83" s="6" t="s">
        <v>28</v>
      </c>
      <c r="D83" s="24" t="s">
        <v>226</v>
      </c>
      <c r="E83" s="24" t="s">
        <v>211</v>
      </c>
      <c r="F83" s="6" t="s">
        <v>34</v>
      </c>
      <c r="G83" s="6" t="s">
        <v>34</v>
      </c>
      <c r="H83" s="6" t="s">
        <v>34</v>
      </c>
      <c r="I83" s="6" t="s">
        <v>34</v>
      </c>
      <c r="J83" s="6" t="s">
        <v>34</v>
      </c>
      <c r="K83" s="6" t="s">
        <v>34</v>
      </c>
      <c r="L83" s="6" t="s">
        <v>34</v>
      </c>
      <c r="M83" s="6" t="s">
        <v>34</v>
      </c>
      <c r="N83" s="6" t="s">
        <v>34</v>
      </c>
      <c r="O83" s="30">
        <f t="shared" si="3"/>
        <v>0</v>
      </c>
      <c r="P83" s="6" t="s">
        <v>9</v>
      </c>
      <c r="Q83" s="6" t="s">
        <v>9</v>
      </c>
      <c r="R83" s="6" t="s">
        <v>9</v>
      </c>
      <c r="S83" s="43" t="s">
        <v>9</v>
      </c>
      <c r="T83" s="6" t="s">
        <v>16</v>
      </c>
      <c r="U83" s="30">
        <f t="shared" si="4"/>
        <v>4</v>
      </c>
      <c r="V83" s="8" t="s">
        <v>16</v>
      </c>
      <c r="W83" s="8" t="s">
        <v>16</v>
      </c>
      <c r="X83" s="8" t="s">
        <v>16</v>
      </c>
      <c r="Y83" s="8" t="s">
        <v>16</v>
      </c>
      <c r="Z83" s="8" t="s">
        <v>16</v>
      </c>
      <c r="AA83" s="86" t="s">
        <v>16</v>
      </c>
      <c r="AB83" s="6" t="s">
        <v>16</v>
      </c>
      <c r="AD83" s="30">
        <f t="shared" si="5"/>
        <v>0</v>
      </c>
      <c r="AE83" s="21"/>
    </row>
    <row r="84" spans="1:33" x14ac:dyDescent="0.25">
      <c r="A84" s="3" t="s">
        <v>228</v>
      </c>
      <c r="B84" s="21"/>
      <c r="C84" s="6" t="s">
        <v>28</v>
      </c>
      <c r="D84" s="24" t="s">
        <v>11</v>
      </c>
      <c r="E84" s="24" t="s">
        <v>211</v>
      </c>
      <c r="F84" s="43" t="s">
        <v>34</v>
      </c>
      <c r="G84" s="43" t="s">
        <v>34</v>
      </c>
      <c r="H84" s="43" t="s">
        <v>34</v>
      </c>
      <c r="I84" s="43" t="s">
        <v>34</v>
      </c>
      <c r="J84" s="43" t="s">
        <v>34</v>
      </c>
      <c r="K84" s="43" t="s">
        <v>34</v>
      </c>
      <c r="L84" s="43" t="s">
        <v>34</v>
      </c>
      <c r="M84" s="43" t="s">
        <v>34</v>
      </c>
      <c r="N84" s="43" t="s">
        <v>34</v>
      </c>
      <c r="O84" s="30">
        <f t="shared" si="3"/>
        <v>0</v>
      </c>
      <c r="P84" s="43" t="s">
        <v>34</v>
      </c>
      <c r="Q84" s="43" t="s">
        <v>34</v>
      </c>
      <c r="R84" s="43" t="s">
        <v>34</v>
      </c>
      <c r="S84" s="43" t="s">
        <v>34</v>
      </c>
      <c r="T84" s="6" t="s">
        <v>16</v>
      </c>
      <c r="U84" s="30">
        <f t="shared" si="4"/>
        <v>0</v>
      </c>
      <c r="V84" s="43" t="s">
        <v>16</v>
      </c>
      <c r="W84" s="43" t="s">
        <v>9</v>
      </c>
      <c r="X84" s="43" t="s">
        <v>9</v>
      </c>
      <c r="Y84" s="43" t="s">
        <v>9</v>
      </c>
      <c r="Z84" s="43" t="s">
        <v>9</v>
      </c>
      <c r="AA84" s="43" t="s">
        <v>23</v>
      </c>
      <c r="AB84" s="43" t="s">
        <v>16</v>
      </c>
      <c r="AC84" s="43"/>
      <c r="AD84" s="30">
        <f t="shared" si="5"/>
        <v>4</v>
      </c>
      <c r="AE84" s="39"/>
    </row>
    <row r="85" spans="1:33" x14ac:dyDescent="0.25">
      <c r="A85" s="3" t="s">
        <v>229</v>
      </c>
      <c r="B85" s="21"/>
      <c r="C85" s="6" t="s">
        <v>28</v>
      </c>
      <c r="D85" s="24" t="s">
        <v>11</v>
      </c>
      <c r="E85" s="24" t="s">
        <v>211</v>
      </c>
      <c r="F85" s="43"/>
      <c r="G85" s="43"/>
      <c r="H85" s="43"/>
      <c r="I85" s="43"/>
      <c r="J85" s="43"/>
      <c r="K85" s="43"/>
      <c r="L85" s="43"/>
      <c r="M85" s="43"/>
      <c r="N85" s="43"/>
      <c r="O85" s="30">
        <f t="shared" si="3"/>
        <v>0</v>
      </c>
      <c r="P85" s="43"/>
      <c r="Q85" s="43"/>
      <c r="R85" s="43"/>
      <c r="S85" s="43"/>
      <c r="U85" s="30">
        <f t="shared" si="4"/>
        <v>0</v>
      </c>
      <c r="V85" s="43" t="s">
        <v>34</v>
      </c>
      <c r="W85" s="43" t="s">
        <v>23</v>
      </c>
      <c r="X85" s="43" t="s">
        <v>9</v>
      </c>
      <c r="Y85" s="43" t="s">
        <v>9</v>
      </c>
      <c r="Z85" s="43" t="s">
        <v>16</v>
      </c>
      <c r="AA85" s="43" t="s">
        <v>23</v>
      </c>
      <c r="AB85" s="43" t="s">
        <v>23</v>
      </c>
      <c r="AC85" s="43"/>
      <c r="AD85" s="30">
        <f t="shared" si="5"/>
        <v>2</v>
      </c>
      <c r="AE85" s="39"/>
    </row>
    <row r="86" spans="1:33" x14ac:dyDescent="0.25">
      <c r="A86" s="3" t="s">
        <v>39</v>
      </c>
      <c r="B86" s="21">
        <v>85992297858</v>
      </c>
      <c r="C86" s="6" t="s">
        <v>28</v>
      </c>
      <c r="D86" s="24" t="s">
        <v>226</v>
      </c>
      <c r="E86" s="24" t="s">
        <v>211</v>
      </c>
      <c r="F86" s="6" t="s">
        <v>34</v>
      </c>
      <c r="G86" s="6" t="s">
        <v>34</v>
      </c>
      <c r="H86" s="6" t="s">
        <v>34</v>
      </c>
      <c r="I86" s="6" t="s">
        <v>34</v>
      </c>
      <c r="J86" s="6" t="s">
        <v>34</v>
      </c>
      <c r="K86" s="6" t="s">
        <v>34</v>
      </c>
      <c r="L86" s="6" t="s">
        <v>34</v>
      </c>
      <c r="M86" s="6" t="s">
        <v>34</v>
      </c>
      <c r="N86" s="6" t="s">
        <v>34</v>
      </c>
      <c r="O86" s="30">
        <f t="shared" si="3"/>
        <v>0</v>
      </c>
      <c r="P86" s="6" t="s">
        <v>34</v>
      </c>
      <c r="Q86" s="6" t="s">
        <v>34</v>
      </c>
      <c r="R86" s="6" t="s">
        <v>16</v>
      </c>
      <c r="S86" s="43" t="s">
        <v>9</v>
      </c>
      <c r="T86" s="6" t="s">
        <v>9</v>
      </c>
      <c r="U86" s="30">
        <f t="shared" si="4"/>
        <v>2</v>
      </c>
      <c r="V86" s="6" t="s">
        <v>9</v>
      </c>
      <c r="W86" s="6" t="s">
        <v>9</v>
      </c>
      <c r="X86" s="6" t="s">
        <v>9</v>
      </c>
      <c r="Y86" s="8" t="s">
        <v>16</v>
      </c>
      <c r="Z86" s="8" t="s">
        <v>16</v>
      </c>
      <c r="AA86" s="86" t="s">
        <v>16</v>
      </c>
      <c r="AB86" s="6" t="s">
        <v>16</v>
      </c>
      <c r="AD86" s="30">
        <f t="shared" si="5"/>
        <v>3</v>
      </c>
      <c r="AE86" s="38" t="s">
        <v>17</v>
      </c>
      <c r="AF86" s="10" t="s">
        <v>173</v>
      </c>
      <c r="AG86" s="2" t="s">
        <v>18</v>
      </c>
    </row>
    <row r="87" spans="1:33" x14ac:dyDescent="0.25">
      <c r="A87" s="2" t="s">
        <v>230</v>
      </c>
      <c r="B87" s="21"/>
      <c r="C87" s="6" t="s">
        <v>28</v>
      </c>
      <c r="D87" s="24" t="s">
        <v>11</v>
      </c>
      <c r="E87" s="24" t="s">
        <v>211</v>
      </c>
      <c r="G87" s="43" t="s">
        <v>34</v>
      </c>
      <c r="H87" s="43" t="s">
        <v>34</v>
      </c>
      <c r="I87" s="43" t="s">
        <v>34</v>
      </c>
      <c r="J87" s="43" t="s">
        <v>34</v>
      </c>
      <c r="K87" s="43" t="s">
        <v>34</v>
      </c>
      <c r="L87" s="43" t="s">
        <v>34</v>
      </c>
      <c r="M87" s="43" t="s">
        <v>34</v>
      </c>
      <c r="N87" s="43" t="s">
        <v>34</v>
      </c>
      <c r="O87" s="30">
        <f t="shared" si="3"/>
        <v>0</v>
      </c>
      <c r="P87" s="43" t="s">
        <v>34</v>
      </c>
      <c r="Q87" s="43" t="s">
        <v>34</v>
      </c>
      <c r="R87" s="43" t="s">
        <v>34</v>
      </c>
      <c r="S87" s="43" t="s">
        <v>34</v>
      </c>
      <c r="T87" s="43" t="s">
        <v>34</v>
      </c>
      <c r="U87" s="30">
        <f t="shared" si="4"/>
        <v>0</v>
      </c>
      <c r="V87" s="6" t="s">
        <v>9</v>
      </c>
      <c r="W87" s="6" t="s">
        <v>9</v>
      </c>
      <c r="X87" s="8" t="s">
        <v>16</v>
      </c>
      <c r="Y87" s="8" t="s">
        <v>16</v>
      </c>
      <c r="Z87" s="6" t="s">
        <v>9</v>
      </c>
      <c r="AA87" s="6" t="s">
        <v>16</v>
      </c>
      <c r="AB87" s="6" t="s">
        <v>16</v>
      </c>
      <c r="AD87" s="30">
        <f t="shared" si="5"/>
        <v>3</v>
      </c>
      <c r="AE87" s="38"/>
      <c r="AF87" s="10"/>
    </row>
    <row r="88" spans="1:33" x14ac:dyDescent="0.25">
      <c r="A88" s="3" t="s">
        <v>40</v>
      </c>
      <c r="B88" s="21">
        <v>85989364457</v>
      </c>
      <c r="C88" s="6" t="s">
        <v>28</v>
      </c>
      <c r="D88" s="24" t="s">
        <v>226</v>
      </c>
      <c r="E88" s="24" t="s">
        <v>211</v>
      </c>
      <c r="F88" s="6" t="s">
        <v>34</v>
      </c>
      <c r="G88" s="6" t="s">
        <v>34</v>
      </c>
      <c r="H88" s="6" t="s">
        <v>34</v>
      </c>
      <c r="I88" s="6" t="s">
        <v>34</v>
      </c>
      <c r="J88" s="6" t="s">
        <v>34</v>
      </c>
      <c r="K88" s="6" t="s">
        <v>34</v>
      </c>
      <c r="L88" s="6" t="s">
        <v>34</v>
      </c>
      <c r="M88" s="6" t="s">
        <v>34</v>
      </c>
      <c r="N88" s="6" t="s">
        <v>34</v>
      </c>
      <c r="O88" s="30">
        <f t="shared" si="3"/>
        <v>0</v>
      </c>
      <c r="P88" s="6" t="s">
        <v>9</v>
      </c>
      <c r="Q88" s="6" t="s">
        <v>9</v>
      </c>
      <c r="R88" s="6" t="s">
        <v>9</v>
      </c>
      <c r="S88" s="43" t="s">
        <v>16</v>
      </c>
      <c r="T88" s="6" t="s">
        <v>9</v>
      </c>
      <c r="U88" s="30">
        <f t="shared" si="4"/>
        <v>4</v>
      </c>
      <c r="V88" s="6" t="s">
        <v>9</v>
      </c>
      <c r="W88" s="6" t="s">
        <v>9</v>
      </c>
      <c r="X88" s="6" t="s">
        <v>16</v>
      </c>
      <c r="Y88" s="6" t="s">
        <v>9</v>
      </c>
      <c r="Z88" s="6" t="s">
        <v>9</v>
      </c>
      <c r="AA88" s="6" t="s">
        <v>9</v>
      </c>
      <c r="AB88" s="6" t="s">
        <v>9</v>
      </c>
      <c r="AD88" s="30">
        <f t="shared" si="5"/>
        <v>6</v>
      </c>
      <c r="AE88" s="21"/>
    </row>
    <row r="89" spans="1:33" x14ac:dyDescent="0.25">
      <c r="A89" s="2" t="s">
        <v>231</v>
      </c>
      <c r="B89" s="21"/>
      <c r="C89" s="6" t="s">
        <v>28</v>
      </c>
      <c r="D89" s="24" t="s">
        <v>11</v>
      </c>
      <c r="E89" s="24" t="s">
        <v>211</v>
      </c>
      <c r="O89" s="30">
        <f t="shared" si="3"/>
        <v>0</v>
      </c>
      <c r="S89" s="43"/>
      <c r="U89" s="30">
        <f t="shared" si="4"/>
        <v>0</v>
      </c>
      <c r="V89" s="6" t="s">
        <v>34</v>
      </c>
      <c r="W89" s="6" t="s">
        <v>9</v>
      </c>
      <c r="X89" s="8" t="s">
        <v>16</v>
      </c>
      <c r="Y89" s="8" t="s">
        <v>16</v>
      </c>
      <c r="Z89" s="6" t="s">
        <v>9</v>
      </c>
      <c r="AA89" s="6" t="s">
        <v>9</v>
      </c>
      <c r="AB89" s="6" t="s">
        <v>9</v>
      </c>
      <c r="AD89" s="30">
        <f t="shared" si="5"/>
        <v>4</v>
      </c>
      <c r="AE89" s="21"/>
    </row>
    <row r="90" spans="1:33" x14ac:dyDescent="0.25">
      <c r="A90" s="21" t="s">
        <v>42</v>
      </c>
      <c r="B90" s="21">
        <v>85988908983</v>
      </c>
      <c r="C90" s="6" t="s">
        <v>28</v>
      </c>
      <c r="D90" s="24" t="s">
        <v>11</v>
      </c>
      <c r="E90" s="24" t="s">
        <v>211</v>
      </c>
      <c r="F90" s="6" t="s">
        <v>34</v>
      </c>
      <c r="G90" s="6" t="s">
        <v>34</v>
      </c>
      <c r="H90" s="6" t="s">
        <v>34</v>
      </c>
      <c r="I90" s="6" t="s">
        <v>34</v>
      </c>
      <c r="J90" s="6" t="s">
        <v>34</v>
      </c>
      <c r="K90" s="6" t="s">
        <v>34</v>
      </c>
      <c r="L90" s="6" t="s">
        <v>34</v>
      </c>
      <c r="M90" s="6" t="s">
        <v>34</v>
      </c>
      <c r="N90" s="6" t="s">
        <v>34</v>
      </c>
      <c r="O90" s="30">
        <f t="shared" si="3"/>
        <v>0</v>
      </c>
      <c r="P90" s="6" t="s">
        <v>34</v>
      </c>
      <c r="Q90" s="6" t="s">
        <v>34</v>
      </c>
      <c r="R90" s="6" t="s">
        <v>34</v>
      </c>
      <c r="S90" s="43" t="s">
        <v>34</v>
      </c>
      <c r="T90" s="6" t="s">
        <v>16</v>
      </c>
      <c r="U90" s="30">
        <f t="shared" si="4"/>
        <v>0</v>
      </c>
      <c r="V90" s="6" t="s">
        <v>9</v>
      </c>
      <c r="W90" s="6" t="s">
        <v>9</v>
      </c>
      <c r="X90" s="6" t="s">
        <v>9</v>
      </c>
      <c r="Y90" s="6" t="s">
        <v>16</v>
      </c>
      <c r="Z90" s="6" t="s">
        <v>9</v>
      </c>
      <c r="AA90" s="6" t="s">
        <v>16</v>
      </c>
      <c r="AB90" s="6" t="s">
        <v>9</v>
      </c>
      <c r="AD90" s="30">
        <f t="shared" si="5"/>
        <v>5</v>
      </c>
      <c r="AE90" s="21"/>
      <c r="AF90" s="10"/>
    </row>
    <row r="91" spans="1:33" x14ac:dyDescent="0.25">
      <c r="A91" s="3" t="s">
        <v>232</v>
      </c>
      <c r="B91" s="21"/>
      <c r="C91" s="6" t="s">
        <v>28</v>
      </c>
      <c r="D91" s="24" t="s">
        <v>11</v>
      </c>
      <c r="E91" s="24" t="s">
        <v>211</v>
      </c>
      <c r="F91" s="43" t="s">
        <v>34</v>
      </c>
      <c r="G91" s="43" t="s">
        <v>34</v>
      </c>
      <c r="H91" s="43" t="s">
        <v>34</v>
      </c>
      <c r="I91" s="43" t="s">
        <v>34</v>
      </c>
      <c r="J91" s="43" t="s">
        <v>34</v>
      </c>
      <c r="K91" s="43" t="s">
        <v>34</v>
      </c>
      <c r="L91" s="43" t="s">
        <v>34</v>
      </c>
      <c r="M91" s="43" t="s">
        <v>34</v>
      </c>
      <c r="N91" s="43" t="s">
        <v>34</v>
      </c>
      <c r="O91" s="30">
        <f t="shared" si="3"/>
        <v>0</v>
      </c>
      <c r="P91" s="43" t="s">
        <v>34</v>
      </c>
      <c r="Q91" s="43" t="s">
        <v>34</v>
      </c>
      <c r="R91" s="43" t="s">
        <v>34</v>
      </c>
      <c r="S91" s="43" t="s">
        <v>34</v>
      </c>
      <c r="T91" s="6" t="s">
        <v>16</v>
      </c>
      <c r="U91" s="30">
        <f t="shared" si="4"/>
        <v>0</v>
      </c>
      <c r="V91" s="43" t="s">
        <v>9</v>
      </c>
      <c r="W91" s="43" t="s">
        <v>9</v>
      </c>
      <c r="X91" s="43" t="s">
        <v>9</v>
      </c>
      <c r="Y91" s="43" t="s">
        <v>16</v>
      </c>
      <c r="Z91" s="43" t="s">
        <v>23</v>
      </c>
      <c r="AA91" s="43" t="s">
        <v>16</v>
      </c>
      <c r="AB91" s="43" t="s">
        <v>23</v>
      </c>
      <c r="AC91" s="43"/>
      <c r="AD91" s="30">
        <f t="shared" si="5"/>
        <v>3</v>
      </c>
      <c r="AE91" s="21"/>
      <c r="AF91" s="10"/>
    </row>
    <row r="92" spans="1:33" x14ac:dyDescent="0.25">
      <c r="A92" s="3" t="s">
        <v>47</v>
      </c>
      <c r="B92" s="21">
        <v>85988106809</v>
      </c>
      <c r="C92" s="6" t="s">
        <v>28</v>
      </c>
      <c r="D92" s="24" t="s">
        <v>226</v>
      </c>
      <c r="E92" s="24" t="s">
        <v>211</v>
      </c>
      <c r="F92" s="6" t="s">
        <v>16</v>
      </c>
      <c r="G92" s="6" t="s">
        <v>16</v>
      </c>
      <c r="H92" s="6" t="s">
        <v>16</v>
      </c>
      <c r="I92" s="6" t="s">
        <v>9</v>
      </c>
      <c r="J92" s="6" t="s">
        <v>9</v>
      </c>
      <c r="K92" s="6" t="s">
        <v>9</v>
      </c>
      <c r="L92" s="6" t="s">
        <v>9</v>
      </c>
      <c r="M92" s="6" t="s">
        <v>9</v>
      </c>
      <c r="N92" s="6" t="s">
        <v>9</v>
      </c>
      <c r="O92" s="30">
        <f t="shared" si="3"/>
        <v>6</v>
      </c>
      <c r="P92" s="6" t="s">
        <v>9</v>
      </c>
      <c r="Q92" s="6" t="s">
        <v>16</v>
      </c>
      <c r="R92" s="6" t="s">
        <v>9</v>
      </c>
      <c r="S92" s="43" t="s">
        <v>9</v>
      </c>
      <c r="T92" s="6" t="s">
        <v>9</v>
      </c>
      <c r="U92" s="30">
        <f t="shared" si="4"/>
        <v>4</v>
      </c>
      <c r="V92" s="6" t="s">
        <v>16</v>
      </c>
      <c r="W92" s="6" t="s">
        <v>16</v>
      </c>
      <c r="X92" s="6" t="s">
        <v>9</v>
      </c>
      <c r="Y92" s="6" t="s">
        <v>9</v>
      </c>
      <c r="Z92" s="6" t="s">
        <v>9</v>
      </c>
      <c r="AA92" s="6" t="s">
        <v>9</v>
      </c>
      <c r="AB92" s="6" t="s">
        <v>9</v>
      </c>
      <c r="AD92" s="30">
        <f t="shared" si="5"/>
        <v>5</v>
      </c>
      <c r="AE92" s="39" t="s">
        <v>21</v>
      </c>
      <c r="AF92" s="14" t="s">
        <v>171</v>
      </c>
    </row>
    <row r="93" spans="1:33" x14ac:dyDescent="0.25">
      <c r="A93" s="3" t="s">
        <v>49</v>
      </c>
      <c r="B93" s="21">
        <v>85991009712</v>
      </c>
      <c r="C93" s="6" t="s">
        <v>28</v>
      </c>
      <c r="D93" s="24" t="s">
        <v>226</v>
      </c>
      <c r="E93" s="24" t="s">
        <v>211</v>
      </c>
      <c r="F93" s="6" t="s">
        <v>34</v>
      </c>
      <c r="G93" s="6" t="s">
        <v>34</v>
      </c>
      <c r="H93" s="6" t="s">
        <v>34</v>
      </c>
      <c r="I93" s="6" t="s">
        <v>34</v>
      </c>
      <c r="J93" s="6" t="s">
        <v>34</v>
      </c>
      <c r="K93" s="6" t="s">
        <v>34</v>
      </c>
      <c r="L93" s="6" t="s">
        <v>34</v>
      </c>
      <c r="M93" s="6" t="s">
        <v>34</v>
      </c>
      <c r="N93" s="6" t="s">
        <v>34</v>
      </c>
      <c r="O93" s="30">
        <f t="shared" si="3"/>
        <v>0</v>
      </c>
      <c r="P93" s="6" t="s">
        <v>34</v>
      </c>
      <c r="Q93" s="6" t="s">
        <v>9</v>
      </c>
      <c r="R93" s="6" t="s">
        <v>9</v>
      </c>
      <c r="S93" s="6" t="s">
        <v>16</v>
      </c>
      <c r="T93" s="6" t="s">
        <v>16</v>
      </c>
      <c r="U93" s="30">
        <f t="shared" si="4"/>
        <v>2</v>
      </c>
      <c r="V93" s="8" t="s">
        <v>16</v>
      </c>
      <c r="W93" s="8" t="s">
        <v>16</v>
      </c>
      <c r="X93" s="8" t="s">
        <v>16</v>
      </c>
      <c r="Y93" s="8" t="s">
        <v>16</v>
      </c>
      <c r="Z93" s="8" t="s">
        <v>16</v>
      </c>
      <c r="AA93" s="8" t="s">
        <v>16</v>
      </c>
      <c r="AB93" s="6" t="s">
        <v>16</v>
      </c>
      <c r="AD93" s="30">
        <f t="shared" si="5"/>
        <v>0</v>
      </c>
      <c r="AE93" s="21"/>
    </row>
    <row r="94" spans="1:33" x14ac:dyDescent="0.25">
      <c r="A94" s="3" t="s">
        <v>52</v>
      </c>
      <c r="B94" s="21">
        <v>85988780579</v>
      </c>
      <c r="C94" s="6" t="s">
        <v>28</v>
      </c>
      <c r="D94" s="24" t="s">
        <v>226</v>
      </c>
      <c r="E94" s="24" t="s">
        <v>211</v>
      </c>
      <c r="F94" s="6" t="s">
        <v>16</v>
      </c>
      <c r="G94" s="6" t="s">
        <v>16</v>
      </c>
      <c r="H94" s="6" t="s">
        <v>16</v>
      </c>
      <c r="I94" s="6" t="s">
        <v>9</v>
      </c>
      <c r="J94" s="6" t="s">
        <v>9</v>
      </c>
      <c r="K94" s="6" t="s">
        <v>9</v>
      </c>
      <c r="L94" s="6" t="s">
        <v>9</v>
      </c>
      <c r="M94" s="6" t="s">
        <v>9</v>
      </c>
      <c r="N94" s="6" t="s">
        <v>9</v>
      </c>
      <c r="O94" s="30">
        <f t="shared" si="3"/>
        <v>6</v>
      </c>
      <c r="P94" s="6" t="s">
        <v>16</v>
      </c>
      <c r="Q94" s="6" t="s">
        <v>16</v>
      </c>
      <c r="R94" s="6" t="s">
        <v>9</v>
      </c>
      <c r="S94" s="43" t="s">
        <v>9</v>
      </c>
      <c r="T94" s="6" t="s">
        <v>9</v>
      </c>
      <c r="U94" s="30">
        <f t="shared" si="4"/>
        <v>3</v>
      </c>
      <c r="V94" s="6" t="s">
        <v>16</v>
      </c>
      <c r="W94" s="6" t="s">
        <v>16</v>
      </c>
      <c r="X94" s="6" t="s">
        <v>9</v>
      </c>
      <c r="Y94" s="6" t="s">
        <v>9</v>
      </c>
      <c r="Z94" s="6" t="s">
        <v>9</v>
      </c>
      <c r="AA94" s="6" t="s">
        <v>16</v>
      </c>
      <c r="AB94" s="6" t="s">
        <v>9</v>
      </c>
      <c r="AD94" s="30">
        <f t="shared" si="5"/>
        <v>4</v>
      </c>
      <c r="AE94" s="38" t="s">
        <v>17</v>
      </c>
      <c r="AF94" s="14" t="s">
        <v>171</v>
      </c>
      <c r="AG94" s="2" t="s">
        <v>53</v>
      </c>
    </row>
    <row r="95" spans="1:33" x14ac:dyDescent="0.25">
      <c r="A95" s="3" t="s">
        <v>55</v>
      </c>
      <c r="B95" s="21">
        <v>85999083735</v>
      </c>
      <c r="C95" s="6" t="s">
        <v>28</v>
      </c>
      <c r="D95" s="24" t="s">
        <v>226</v>
      </c>
      <c r="E95" s="24" t="s">
        <v>211</v>
      </c>
      <c r="F95" s="6" t="s">
        <v>16</v>
      </c>
      <c r="G95" s="6" t="s">
        <v>16</v>
      </c>
      <c r="H95" s="6" t="s">
        <v>16</v>
      </c>
      <c r="I95" s="6" t="s">
        <v>9</v>
      </c>
      <c r="J95" s="6" t="s">
        <v>9</v>
      </c>
      <c r="K95" s="6" t="s">
        <v>9</v>
      </c>
      <c r="L95" s="6" t="s">
        <v>16</v>
      </c>
      <c r="M95" s="6" t="s">
        <v>16</v>
      </c>
      <c r="N95" s="6" t="s">
        <v>9</v>
      </c>
      <c r="O95" s="30">
        <f t="shared" si="3"/>
        <v>4</v>
      </c>
      <c r="P95" s="6" t="s">
        <v>16</v>
      </c>
      <c r="Q95" s="6" t="s">
        <v>16</v>
      </c>
      <c r="R95" s="6" t="s">
        <v>16</v>
      </c>
      <c r="S95" s="43" t="s">
        <v>16</v>
      </c>
      <c r="T95" s="6" t="s">
        <v>16</v>
      </c>
      <c r="U95" s="30">
        <f t="shared" si="4"/>
        <v>0</v>
      </c>
      <c r="V95" s="6" t="s">
        <v>9</v>
      </c>
      <c r="W95" s="6" t="s">
        <v>9</v>
      </c>
      <c r="X95" s="6" t="s">
        <v>9</v>
      </c>
      <c r="Y95" s="6" t="s">
        <v>16</v>
      </c>
      <c r="Z95" s="6" t="s">
        <v>9</v>
      </c>
      <c r="AA95" s="6" t="s">
        <v>16</v>
      </c>
      <c r="AB95" s="6" t="s">
        <v>16</v>
      </c>
      <c r="AD95" s="30">
        <f t="shared" si="5"/>
        <v>4</v>
      </c>
      <c r="AE95" s="38" t="s">
        <v>17</v>
      </c>
      <c r="AF95" s="12" t="s">
        <v>173</v>
      </c>
      <c r="AG95" s="2" t="s">
        <v>46</v>
      </c>
    </row>
    <row r="96" spans="1:33" x14ac:dyDescent="0.25">
      <c r="A96" s="21" t="s">
        <v>56</v>
      </c>
      <c r="B96" s="21">
        <v>85996591156</v>
      </c>
      <c r="C96" s="6" t="s">
        <v>28</v>
      </c>
      <c r="D96" s="24" t="s">
        <v>226</v>
      </c>
      <c r="E96" s="24" t="s">
        <v>211</v>
      </c>
      <c r="F96" s="6" t="s">
        <v>34</v>
      </c>
      <c r="G96" s="6" t="s">
        <v>34</v>
      </c>
      <c r="H96" s="6" t="s">
        <v>34</v>
      </c>
      <c r="I96" s="6" t="s">
        <v>34</v>
      </c>
      <c r="J96" s="6" t="s">
        <v>34</v>
      </c>
      <c r="K96" s="6" t="s">
        <v>34</v>
      </c>
      <c r="L96" s="6" t="s">
        <v>34</v>
      </c>
      <c r="M96" s="6" t="s">
        <v>34</v>
      </c>
      <c r="N96" s="6" t="s">
        <v>34</v>
      </c>
      <c r="O96" s="30">
        <f t="shared" si="3"/>
        <v>0</v>
      </c>
      <c r="P96" s="6" t="s">
        <v>34</v>
      </c>
      <c r="Q96" s="6" t="s">
        <v>34</v>
      </c>
      <c r="R96" s="6" t="s">
        <v>9</v>
      </c>
      <c r="S96" s="43" t="s">
        <v>16</v>
      </c>
      <c r="T96" s="6" t="s">
        <v>16</v>
      </c>
      <c r="U96" s="30">
        <f t="shared" si="4"/>
        <v>1</v>
      </c>
      <c r="V96" s="6" t="s">
        <v>9</v>
      </c>
      <c r="W96" s="6" t="s">
        <v>16</v>
      </c>
      <c r="X96" s="6" t="s">
        <v>9</v>
      </c>
      <c r="Y96" s="6" t="s">
        <v>16</v>
      </c>
      <c r="Z96" s="6" t="s">
        <v>9</v>
      </c>
      <c r="AA96" s="6" t="s">
        <v>16</v>
      </c>
      <c r="AB96" s="6" t="s">
        <v>9</v>
      </c>
      <c r="AD96" s="30">
        <f t="shared" si="5"/>
        <v>4</v>
      </c>
      <c r="AE96" s="21"/>
      <c r="AF96" s="10"/>
    </row>
    <row r="97" spans="1:34" x14ac:dyDescent="0.25">
      <c r="A97" s="2" t="s">
        <v>233</v>
      </c>
      <c r="B97" s="21"/>
      <c r="C97" s="6" t="s">
        <v>28</v>
      </c>
      <c r="D97" s="24" t="s">
        <v>11</v>
      </c>
      <c r="E97" s="24" t="s">
        <v>211</v>
      </c>
      <c r="O97" s="30">
        <f t="shared" si="3"/>
        <v>0</v>
      </c>
      <c r="P97" s="6" t="s">
        <v>34</v>
      </c>
      <c r="Q97" s="6" t="s">
        <v>34</v>
      </c>
      <c r="R97" s="6" t="s">
        <v>34</v>
      </c>
      <c r="S97" s="43" t="s">
        <v>34</v>
      </c>
      <c r="T97" s="43" t="s">
        <v>34</v>
      </c>
      <c r="U97" s="30">
        <f t="shared" si="4"/>
        <v>0</v>
      </c>
      <c r="V97" s="6" t="s">
        <v>9</v>
      </c>
      <c r="W97" s="6" t="s">
        <v>9</v>
      </c>
      <c r="X97" s="6" t="s">
        <v>9</v>
      </c>
      <c r="Y97" s="6" t="s">
        <v>9</v>
      </c>
      <c r="Z97" s="6" t="s">
        <v>9</v>
      </c>
      <c r="AA97" s="6" t="s">
        <v>9</v>
      </c>
      <c r="AB97" s="6" t="s">
        <v>9</v>
      </c>
      <c r="AD97" s="30">
        <f t="shared" si="5"/>
        <v>7</v>
      </c>
      <c r="AE97" s="21"/>
      <c r="AF97" s="10"/>
    </row>
    <row r="98" spans="1:34" x14ac:dyDescent="0.25">
      <c r="A98" s="3" t="s">
        <v>57</v>
      </c>
      <c r="B98" s="21">
        <v>85996591156</v>
      </c>
      <c r="C98" s="6" t="s">
        <v>210</v>
      </c>
      <c r="D98" s="24" t="s">
        <v>20</v>
      </c>
      <c r="E98" s="24" t="s">
        <v>211</v>
      </c>
      <c r="F98" s="6" t="s">
        <v>34</v>
      </c>
      <c r="G98" s="6" t="s">
        <v>34</v>
      </c>
      <c r="H98" s="6" t="s">
        <v>34</v>
      </c>
      <c r="I98" s="6" t="s">
        <v>34</v>
      </c>
      <c r="J98" s="6" t="s">
        <v>34</v>
      </c>
      <c r="K98" s="6" t="s">
        <v>34</v>
      </c>
      <c r="L98" s="6" t="s">
        <v>34</v>
      </c>
      <c r="M98" s="6" t="s">
        <v>34</v>
      </c>
      <c r="N98" s="6" t="s">
        <v>34</v>
      </c>
      <c r="O98" s="30">
        <f t="shared" si="3"/>
        <v>0</v>
      </c>
      <c r="P98" s="6" t="s">
        <v>34</v>
      </c>
      <c r="Q98" s="6" t="s">
        <v>34</v>
      </c>
      <c r="R98" s="6" t="s">
        <v>9</v>
      </c>
      <c r="S98" s="43" t="s">
        <v>16</v>
      </c>
      <c r="T98" s="6" t="s">
        <v>9</v>
      </c>
      <c r="U98" s="30">
        <f t="shared" si="4"/>
        <v>2</v>
      </c>
      <c r="V98" s="6" t="s">
        <v>16</v>
      </c>
      <c r="W98" s="6" t="s">
        <v>9</v>
      </c>
      <c r="X98" s="8" t="s">
        <v>16</v>
      </c>
      <c r="Y98" s="8" t="s">
        <v>16</v>
      </c>
      <c r="Z98" s="8" t="s">
        <v>16</v>
      </c>
      <c r="AA98" s="8" t="s">
        <v>16</v>
      </c>
      <c r="AB98" s="6" t="s">
        <v>16</v>
      </c>
      <c r="AD98" s="30">
        <f t="shared" si="5"/>
        <v>1</v>
      </c>
    </row>
    <row r="99" spans="1:34" x14ac:dyDescent="0.25">
      <c r="A99" s="2" t="s">
        <v>234</v>
      </c>
      <c r="B99" s="21"/>
      <c r="C99" s="6" t="s">
        <v>28</v>
      </c>
      <c r="D99" s="24" t="s">
        <v>11</v>
      </c>
      <c r="E99" s="24" t="s">
        <v>211</v>
      </c>
      <c r="O99" s="30">
        <f t="shared" si="3"/>
        <v>0</v>
      </c>
      <c r="S99" s="43" t="s">
        <v>34</v>
      </c>
      <c r="T99" s="43" t="s">
        <v>34</v>
      </c>
      <c r="U99" s="30">
        <f t="shared" si="4"/>
        <v>0</v>
      </c>
      <c r="V99" s="6" t="s">
        <v>9</v>
      </c>
      <c r="W99" s="6" t="s">
        <v>16</v>
      </c>
      <c r="X99" s="6" t="s">
        <v>16</v>
      </c>
      <c r="Y99" s="6" t="s">
        <v>9</v>
      </c>
      <c r="Z99" s="6" t="s">
        <v>9</v>
      </c>
      <c r="AA99" s="6" t="s">
        <v>23</v>
      </c>
      <c r="AB99" s="6" t="s">
        <v>16</v>
      </c>
      <c r="AD99" s="30">
        <f t="shared" si="5"/>
        <v>3</v>
      </c>
    </row>
    <row r="100" spans="1:34" x14ac:dyDescent="0.25">
      <c r="A100" s="3" t="s">
        <v>235</v>
      </c>
      <c r="B100" s="21"/>
      <c r="C100" s="6" t="s">
        <v>28</v>
      </c>
      <c r="D100" s="24" t="s">
        <v>11</v>
      </c>
      <c r="E100" s="24" t="s">
        <v>211</v>
      </c>
      <c r="F100" s="43" t="s">
        <v>34</v>
      </c>
      <c r="G100" s="43" t="s">
        <v>34</v>
      </c>
      <c r="H100" s="43" t="s">
        <v>34</v>
      </c>
      <c r="I100" s="43" t="s">
        <v>34</v>
      </c>
      <c r="J100" s="43" t="s">
        <v>34</v>
      </c>
      <c r="K100" s="43" t="s">
        <v>34</v>
      </c>
      <c r="L100" s="43" t="s">
        <v>34</v>
      </c>
      <c r="M100" s="43" t="s">
        <v>34</v>
      </c>
      <c r="N100" s="43" t="s">
        <v>34</v>
      </c>
      <c r="O100" s="30">
        <f t="shared" si="3"/>
        <v>0</v>
      </c>
      <c r="P100" s="43" t="s">
        <v>34</v>
      </c>
      <c r="Q100" s="43" t="s">
        <v>34</v>
      </c>
      <c r="R100" s="43" t="s">
        <v>34</v>
      </c>
      <c r="S100" s="43" t="s">
        <v>34</v>
      </c>
      <c r="T100" s="6" t="s">
        <v>9</v>
      </c>
      <c r="U100" s="30">
        <f t="shared" si="4"/>
        <v>1</v>
      </c>
      <c r="V100" s="43" t="s">
        <v>9</v>
      </c>
      <c r="W100" s="43" t="s">
        <v>9</v>
      </c>
      <c r="X100" s="43" t="s">
        <v>23</v>
      </c>
      <c r="Y100" s="81" t="s">
        <v>16</v>
      </c>
      <c r="Z100" s="81" t="s">
        <v>16</v>
      </c>
      <c r="AA100" s="81" t="s">
        <v>16</v>
      </c>
      <c r="AB100" s="43" t="s">
        <v>9</v>
      </c>
      <c r="AC100" s="43"/>
      <c r="AD100" s="30">
        <f t="shared" si="5"/>
        <v>3</v>
      </c>
      <c r="AE100" s="38"/>
      <c r="AF100" s="15"/>
    </row>
    <row r="101" spans="1:34" x14ac:dyDescent="0.25">
      <c r="A101" s="2" t="s">
        <v>87</v>
      </c>
      <c r="B101" s="21"/>
      <c r="C101" s="6" t="s">
        <v>28</v>
      </c>
      <c r="D101" s="24" t="s">
        <v>11</v>
      </c>
      <c r="E101" s="24" t="s">
        <v>211</v>
      </c>
      <c r="F101" s="43"/>
      <c r="G101" s="43"/>
      <c r="H101" s="43"/>
      <c r="I101" s="43"/>
      <c r="J101" s="43"/>
      <c r="K101" s="43"/>
      <c r="L101" s="43"/>
      <c r="M101" s="43"/>
      <c r="N101" s="43"/>
      <c r="O101" s="30">
        <f t="shared" si="3"/>
        <v>0</v>
      </c>
      <c r="P101" s="43"/>
      <c r="Q101" s="43"/>
      <c r="R101" s="43"/>
      <c r="S101" s="43" t="s">
        <v>9</v>
      </c>
      <c r="T101" s="6" t="s">
        <v>16</v>
      </c>
      <c r="U101" s="30">
        <f t="shared" si="4"/>
        <v>1</v>
      </c>
      <c r="V101" s="43" t="s">
        <v>9</v>
      </c>
      <c r="W101" s="43" t="s">
        <v>9</v>
      </c>
      <c r="X101" s="43" t="s">
        <v>23</v>
      </c>
      <c r="Y101" s="43" t="s">
        <v>9</v>
      </c>
      <c r="Z101" s="43" t="s">
        <v>16</v>
      </c>
      <c r="AA101" s="43" t="s">
        <v>23</v>
      </c>
      <c r="AB101" s="43" t="s">
        <v>9</v>
      </c>
      <c r="AC101" s="43"/>
      <c r="AD101" s="30">
        <f t="shared" si="5"/>
        <v>4</v>
      </c>
      <c r="AE101" s="38"/>
      <c r="AF101" s="15"/>
    </row>
    <row r="102" spans="1:34" x14ac:dyDescent="0.25">
      <c r="A102" s="2" t="s">
        <v>236</v>
      </c>
      <c r="B102" s="21"/>
      <c r="C102" s="6" t="s">
        <v>28</v>
      </c>
      <c r="D102" s="24" t="s">
        <v>11</v>
      </c>
      <c r="E102" s="24" t="s">
        <v>211</v>
      </c>
      <c r="F102" s="43"/>
      <c r="G102" s="43"/>
      <c r="H102" s="43"/>
      <c r="I102" s="43"/>
      <c r="J102" s="43"/>
      <c r="K102" s="43"/>
      <c r="L102" s="43"/>
      <c r="M102" s="43"/>
      <c r="N102" s="43"/>
      <c r="O102" s="30">
        <f t="shared" si="3"/>
        <v>0</v>
      </c>
      <c r="P102" s="43"/>
      <c r="Q102" s="43"/>
      <c r="R102" s="43"/>
      <c r="S102" s="43" t="s">
        <v>34</v>
      </c>
      <c r="T102" s="43" t="s">
        <v>34</v>
      </c>
      <c r="U102" s="30">
        <f t="shared" si="4"/>
        <v>0</v>
      </c>
      <c r="V102" s="43" t="s">
        <v>23</v>
      </c>
      <c r="W102" s="43" t="s">
        <v>9</v>
      </c>
      <c r="X102" s="43" t="s">
        <v>9</v>
      </c>
      <c r="Y102" s="43" t="s">
        <v>9</v>
      </c>
      <c r="Z102" s="43" t="s">
        <v>9</v>
      </c>
      <c r="AA102" s="43" t="s">
        <v>9</v>
      </c>
      <c r="AB102" s="43" t="s">
        <v>9</v>
      </c>
      <c r="AC102" s="43"/>
      <c r="AD102" s="30">
        <f t="shared" si="5"/>
        <v>6</v>
      </c>
      <c r="AE102" s="38"/>
      <c r="AF102" s="15"/>
    </row>
    <row r="103" spans="1:34" x14ac:dyDescent="0.25">
      <c r="A103" s="3" t="s">
        <v>237</v>
      </c>
      <c r="B103" s="21"/>
      <c r="C103" s="6" t="s">
        <v>28</v>
      </c>
      <c r="D103" s="24" t="s">
        <v>11</v>
      </c>
      <c r="E103" s="24" t="s">
        <v>211</v>
      </c>
      <c r="F103" s="43" t="s">
        <v>34</v>
      </c>
      <c r="G103" s="43" t="s">
        <v>34</v>
      </c>
      <c r="H103" s="43" t="s">
        <v>34</v>
      </c>
      <c r="I103" s="43" t="s">
        <v>34</v>
      </c>
      <c r="J103" s="43" t="s">
        <v>34</v>
      </c>
      <c r="K103" s="43" t="s">
        <v>34</v>
      </c>
      <c r="L103" s="43" t="s">
        <v>34</v>
      </c>
      <c r="M103" s="43" t="s">
        <v>34</v>
      </c>
      <c r="N103" s="43" t="s">
        <v>34</v>
      </c>
      <c r="O103" s="30">
        <f t="shared" si="3"/>
        <v>0</v>
      </c>
      <c r="P103" s="43" t="s">
        <v>34</v>
      </c>
      <c r="Q103" s="43" t="s">
        <v>34</v>
      </c>
      <c r="R103" s="43" t="s">
        <v>34</v>
      </c>
      <c r="S103" s="64" t="s">
        <v>34</v>
      </c>
      <c r="T103" s="75" t="s">
        <v>9</v>
      </c>
      <c r="U103" s="30">
        <f t="shared" si="4"/>
        <v>1</v>
      </c>
      <c r="V103" s="43" t="s">
        <v>9</v>
      </c>
      <c r="W103" s="43" t="s">
        <v>9</v>
      </c>
      <c r="X103" s="43" t="s">
        <v>9</v>
      </c>
      <c r="Y103" s="43" t="s">
        <v>9</v>
      </c>
      <c r="Z103" s="43" t="s">
        <v>9</v>
      </c>
      <c r="AA103" s="43" t="s">
        <v>9</v>
      </c>
      <c r="AB103" s="43" t="s">
        <v>16</v>
      </c>
      <c r="AC103" s="43"/>
      <c r="AD103" s="30">
        <f t="shared" si="5"/>
        <v>6</v>
      </c>
      <c r="AE103" s="49"/>
      <c r="AF103" s="50"/>
      <c r="AG103" s="51"/>
      <c r="AH103" s="51"/>
    </row>
    <row r="104" spans="1:34" x14ac:dyDescent="0.25">
      <c r="A104" s="76" t="s">
        <v>238</v>
      </c>
      <c r="B104" s="21"/>
      <c r="C104" s="6" t="s">
        <v>28</v>
      </c>
      <c r="D104" s="24" t="s">
        <v>11</v>
      </c>
      <c r="E104" s="24" t="s">
        <v>211</v>
      </c>
      <c r="F104" s="43"/>
      <c r="G104" s="43"/>
      <c r="H104" s="43"/>
      <c r="I104" s="43"/>
      <c r="J104" s="43"/>
      <c r="K104" s="43"/>
      <c r="L104" s="43"/>
      <c r="M104" s="43"/>
      <c r="N104" s="43"/>
      <c r="O104" s="30">
        <f t="shared" si="3"/>
        <v>0</v>
      </c>
      <c r="P104" s="43"/>
      <c r="Q104" s="43"/>
      <c r="R104" s="43"/>
      <c r="S104" s="43" t="s">
        <v>34</v>
      </c>
      <c r="T104" s="43" t="s">
        <v>34</v>
      </c>
      <c r="U104" s="30">
        <f t="shared" si="4"/>
        <v>0</v>
      </c>
      <c r="V104" s="43" t="s">
        <v>9</v>
      </c>
      <c r="W104" s="43" t="s">
        <v>9</v>
      </c>
      <c r="X104" s="43" t="s">
        <v>9</v>
      </c>
      <c r="Y104" s="43" t="s">
        <v>9</v>
      </c>
      <c r="Z104" s="43" t="s">
        <v>9</v>
      </c>
      <c r="AA104" s="43" t="s">
        <v>9</v>
      </c>
      <c r="AB104" s="43" t="s">
        <v>9</v>
      </c>
      <c r="AC104" s="43"/>
      <c r="AD104" s="30">
        <f t="shared" si="5"/>
        <v>7</v>
      </c>
      <c r="AE104" s="49"/>
      <c r="AF104" s="50"/>
      <c r="AG104" s="51"/>
      <c r="AH104" s="51"/>
    </row>
    <row r="105" spans="1:34" x14ac:dyDescent="0.25">
      <c r="A105" s="2" t="s">
        <v>239</v>
      </c>
      <c r="B105" s="21"/>
      <c r="C105" s="6" t="s">
        <v>28</v>
      </c>
      <c r="D105" s="24" t="s">
        <v>11</v>
      </c>
      <c r="E105" s="24" t="s">
        <v>211</v>
      </c>
      <c r="F105" s="43"/>
      <c r="G105" s="43"/>
      <c r="H105" s="43"/>
      <c r="I105" s="43"/>
      <c r="J105" s="43"/>
      <c r="K105" s="43"/>
      <c r="L105" s="43"/>
      <c r="M105" s="43"/>
      <c r="N105" s="43"/>
      <c r="O105" s="30">
        <f t="shared" si="3"/>
        <v>0</v>
      </c>
      <c r="P105" s="43"/>
      <c r="Q105" s="43"/>
      <c r="R105" s="43"/>
      <c r="S105" s="43" t="s">
        <v>34</v>
      </c>
      <c r="T105" s="6" t="s">
        <v>9</v>
      </c>
      <c r="U105" s="30">
        <f t="shared" si="4"/>
        <v>1</v>
      </c>
      <c r="V105" s="43" t="s">
        <v>9</v>
      </c>
      <c r="W105" s="43" t="s">
        <v>9</v>
      </c>
      <c r="X105" s="43" t="s">
        <v>23</v>
      </c>
      <c r="Y105" s="43" t="s">
        <v>16</v>
      </c>
      <c r="Z105" s="43" t="s">
        <v>9</v>
      </c>
      <c r="AA105" s="43" t="s">
        <v>9</v>
      </c>
      <c r="AB105" s="43" t="s">
        <v>9</v>
      </c>
      <c r="AC105" s="43"/>
      <c r="AD105" s="30">
        <f t="shared" si="5"/>
        <v>5</v>
      </c>
      <c r="AE105" s="49"/>
      <c r="AF105" s="50"/>
      <c r="AG105" s="51"/>
      <c r="AH105" s="51"/>
    </row>
    <row r="106" spans="1:34" x14ac:dyDescent="0.25">
      <c r="A106" s="3" t="s">
        <v>240</v>
      </c>
      <c r="B106" s="21"/>
      <c r="C106" s="6" t="s">
        <v>28</v>
      </c>
      <c r="D106" s="24" t="s">
        <v>11</v>
      </c>
      <c r="E106" s="24" t="s">
        <v>211</v>
      </c>
      <c r="F106" s="43" t="s">
        <v>34</v>
      </c>
      <c r="G106" s="43" t="s">
        <v>34</v>
      </c>
      <c r="H106" s="43" t="s">
        <v>34</v>
      </c>
      <c r="I106" s="43" t="s">
        <v>34</v>
      </c>
      <c r="J106" s="43" t="s">
        <v>34</v>
      </c>
      <c r="K106" s="43" t="s">
        <v>34</v>
      </c>
      <c r="L106" s="43" t="s">
        <v>34</v>
      </c>
      <c r="M106" s="43" t="s">
        <v>34</v>
      </c>
      <c r="N106" s="43" t="s">
        <v>34</v>
      </c>
      <c r="O106" s="30">
        <f t="shared" si="3"/>
        <v>0</v>
      </c>
      <c r="P106" s="43" t="s">
        <v>34</v>
      </c>
      <c r="Q106" s="43" t="s">
        <v>34</v>
      </c>
      <c r="R106" s="43" t="s">
        <v>34</v>
      </c>
      <c r="S106" s="43" t="s">
        <v>34</v>
      </c>
      <c r="T106" s="6" t="s">
        <v>9</v>
      </c>
      <c r="U106" s="30">
        <f t="shared" si="4"/>
        <v>1</v>
      </c>
      <c r="V106" s="43" t="s">
        <v>9</v>
      </c>
      <c r="W106" s="43" t="s">
        <v>9</v>
      </c>
      <c r="X106" s="43" t="s">
        <v>9</v>
      </c>
      <c r="Y106" s="43" t="s">
        <v>9</v>
      </c>
      <c r="Z106" s="43" t="s">
        <v>16</v>
      </c>
      <c r="AA106" s="43" t="s">
        <v>23</v>
      </c>
      <c r="AB106" s="43" t="s">
        <v>9</v>
      </c>
      <c r="AC106" s="43"/>
      <c r="AD106" s="30">
        <f t="shared" si="5"/>
        <v>5</v>
      </c>
      <c r="AE106" s="21"/>
      <c r="AF106" s="14"/>
    </row>
    <row r="107" spans="1:34" x14ac:dyDescent="0.25">
      <c r="A107" s="2" t="s">
        <v>241</v>
      </c>
      <c r="B107" s="21"/>
      <c r="C107" s="6" t="s">
        <v>28</v>
      </c>
      <c r="D107" s="24" t="s">
        <v>11</v>
      </c>
      <c r="E107" s="24" t="s">
        <v>211</v>
      </c>
      <c r="F107" s="43"/>
      <c r="G107" s="43"/>
      <c r="H107" s="43"/>
      <c r="I107" s="43"/>
      <c r="J107" s="43"/>
      <c r="K107" s="43"/>
      <c r="L107" s="43"/>
      <c r="M107" s="43"/>
      <c r="N107" s="43"/>
      <c r="O107" s="30">
        <f t="shared" si="3"/>
        <v>0</v>
      </c>
      <c r="P107" s="43"/>
      <c r="Q107" s="43"/>
      <c r="R107" s="43"/>
      <c r="S107" s="43" t="s">
        <v>34</v>
      </c>
      <c r="T107" s="43" t="s">
        <v>34</v>
      </c>
      <c r="U107" s="30">
        <f t="shared" si="4"/>
        <v>0</v>
      </c>
      <c r="V107" s="43" t="s">
        <v>9</v>
      </c>
      <c r="W107" s="43" t="s">
        <v>9</v>
      </c>
      <c r="X107" s="43" t="s">
        <v>9</v>
      </c>
      <c r="Y107" s="43" t="s">
        <v>9</v>
      </c>
      <c r="Z107" s="43" t="s">
        <v>23</v>
      </c>
      <c r="AA107" s="43" t="s">
        <v>23</v>
      </c>
      <c r="AB107" s="43" t="s">
        <v>9</v>
      </c>
      <c r="AC107" s="43"/>
      <c r="AD107" s="30">
        <f t="shared" si="5"/>
        <v>5</v>
      </c>
      <c r="AE107" s="21"/>
      <c r="AF107" s="14"/>
    </row>
    <row r="108" spans="1:34" x14ac:dyDescent="0.25">
      <c r="A108" s="3" t="s">
        <v>103</v>
      </c>
      <c r="B108" s="21">
        <v>85999478074</v>
      </c>
      <c r="C108" s="6" t="s">
        <v>28</v>
      </c>
      <c r="D108" s="24" t="s">
        <v>226</v>
      </c>
      <c r="E108" s="24" t="s">
        <v>211</v>
      </c>
      <c r="F108" s="6" t="s">
        <v>9</v>
      </c>
      <c r="G108" s="6" t="s">
        <v>9</v>
      </c>
      <c r="H108" s="6" t="s">
        <v>9</v>
      </c>
      <c r="I108" s="6" t="s">
        <v>9</v>
      </c>
      <c r="J108" s="6" t="s">
        <v>9</v>
      </c>
      <c r="K108" s="6" t="s">
        <v>16</v>
      </c>
      <c r="L108" s="6" t="s">
        <v>16</v>
      </c>
      <c r="M108" s="6" t="s">
        <v>16</v>
      </c>
      <c r="N108" s="6" t="s">
        <v>16</v>
      </c>
      <c r="O108" s="30">
        <f t="shared" si="3"/>
        <v>5</v>
      </c>
      <c r="P108" s="6" t="s">
        <v>9</v>
      </c>
      <c r="Q108" s="6" t="s">
        <v>16</v>
      </c>
      <c r="R108" s="6" t="s">
        <v>9</v>
      </c>
      <c r="S108" s="43" t="s">
        <v>34</v>
      </c>
      <c r="T108" s="6" t="s">
        <v>16</v>
      </c>
      <c r="U108" s="30">
        <f t="shared" si="4"/>
        <v>2</v>
      </c>
      <c r="V108" s="6" t="s">
        <v>16</v>
      </c>
      <c r="W108" s="6" t="s">
        <v>9</v>
      </c>
      <c r="X108" s="6" t="s">
        <v>16</v>
      </c>
      <c r="Y108" s="6" t="s">
        <v>9</v>
      </c>
      <c r="Z108" s="6" t="s">
        <v>9</v>
      </c>
      <c r="AA108" s="6" t="s">
        <v>9</v>
      </c>
      <c r="AB108" s="6" t="s">
        <v>16</v>
      </c>
      <c r="AD108" s="30">
        <f t="shared" si="5"/>
        <v>4</v>
      </c>
      <c r="AE108" s="39" t="s">
        <v>21</v>
      </c>
      <c r="AF108" s="14" t="s">
        <v>171</v>
      </c>
    </row>
    <row r="109" spans="1:34" x14ac:dyDescent="0.25">
      <c r="A109" s="3" t="s">
        <v>242</v>
      </c>
      <c r="B109" s="21"/>
      <c r="C109" s="6" t="s">
        <v>28</v>
      </c>
      <c r="D109" s="24" t="s">
        <v>11</v>
      </c>
      <c r="E109" s="24" t="s">
        <v>211</v>
      </c>
      <c r="F109" s="43" t="s">
        <v>34</v>
      </c>
      <c r="G109" s="43" t="s">
        <v>34</v>
      </c>
      <c r="H109" s="43" t="s">
        <v>34</v>
      </c>
      <c r="I109" s="43" t="s">
        <v>34</v>
      </c>
      <c r="J109" s="43" t="s">
        <v>34</v>
      </c>
      <c r="K109" s="43" t="s">
        <v>34</v>
      </c>
      <c r="L109" s="43" t="s">
        <v>34</v>
      </c>
      <c r="M109" s="43" t="s">
        <v>34</v>
      </c>
      <c r="N109" s="43" t="s">
        <v>34</v>
      </c>
      <c r="O109" s="30">
        <f t="shared" si="3"/>
        <v>0</v>
      </c>
      <c r="P109" s="43" t="s">
        <v>34</v>
      </c>
      <c r="Q109" s="43" t="s">
        <v>34</v>
      </c>
      <c r="R109" s="43" t="s">
        <v>34</v>
      </c>
      <c r="S109" s="43" t="s">
        <v>9</v>
      </c>
      <c r="T109" s="6" t="s">
        <v>9</v>
      </c>
      <c r="U109" s="30">
        <f t="shared" si="4"/>
        <v>2</v>
      </c>
      <c r="V109" s="43" t="s">
        <v>9</v>
      </c>
      <c r="W109" s="43" t="s">
        <v>243</v>
      </c>
      <c r="X109" s="43" t="s">
        <v>9</v>
      </c>
      <c r="Y109" s="43" t="s">
        <v>9</v>
      </c>
      <c r="Z109" s="43" t="s">
        <v>23</v>
      </c>
      <c r="AA109" s="43" t="s">
        <v>9</v>
      </c>
      <c r="AB109" s="43" t="s">
        <v>16</v>
      </c>
      <c r="AC109" s="43"/>
      <c r="AD109" s="30">
        <f t="shared" si="5"/>
        <v>4</v>
      </c>
      <c r="AE109" s="38"/>
    </row>
    <row r="110" spans="1:34" x14ac:dyDescent="0.25">
      <c r="A110" s="3" t="s">
        <v>108</v>
      </c>
      <c r="B110" s="21">
        <v>85996591240</v>
      </c>
      <c r="C110" s="6" t="s">
        <v>28</v>
      </c>
      <c r="D110" s="24" t="s">
        <v>226</v>
      </c>
      <c r="E110" s="24" t="s">
        <v>211</v>
      </c>
      <c r="F110" s="6" t="s">
        <v>34</v>
      </c>
      <c r="G110" s="6" t="s">
        <v>34</v>
      </c>
      <c r="H110" s="6" t="s">
        <v>34</v>
      </c>
      <c r="I110" s="6" t="s">
        <v>34</v>
      </c>
      <c r="J110" s="6" t="s">
        <v>34</v>
      </c>
      <c r="K110" s="6" t="s">
        <v>34</v>
      </c>
      <c r="L110" s="6" t="s">
        <v>34</v>
      </c>
      <c r="M110" s="6" t="s">
        <v>34</v>
      </c>
      <c r="N110" s="6" t="s">
        <v>34</v>
      </c>
      <c r="O110" s="30">
        <f t="shared" si="3"/>
        <v>0</v>
      </c>
      <c r="P110" s="6" t="s">
        <v>34</v>
      </c>
      <c r="Q110" s="6" t="s">
        <v>34</v>
      </c>
      <c r="R110" s="6" t="s">
        <v>9</v>
      </c>
      <c r="S110" s="43" t="s">
        <v>9</v>
      </c>
      <c r="T110" s="6" t="s">
        <v>9</v>
      </c>
      <c r="U110" s="30">
        <f t="shared" si="4"/>
        <v>3</v>
      </c>
      <c r="V110" s="6" t="s">
        <v>16</v>
      </c>
      <c r="W110" s="6" t="s">
        <v>16</v>
      </c>
      <c r="X110" s="6" t="s">
        <v>9</v>
      </c>
      <c r="Y110" s="6" t="s">
        <v>9</v>
      </c>
      <c r="Z110" s="6" t="s">
        <v>23</v>
      </c>
      <c r="AA110" s="6" t="s">
        <v>16</v>
      </c>
      <c r="AB110" s="6" t="s">
        <v>9</v>
      </c>
      <c r="AD110" s="30">
        <f t="shared" si="5"/>
        <v>3</v>
      </c>
      <c r="AE110" s="38" t="s">
        <v>17</v>
      </c>
      <c r="AG110" s="2" t="s">
        <v>32</v>
      </c>
    </row>
    <row r="111" spans="1:34" x14ac:dyDescent="0.25">
      <c r="A111" s="3" t="s">
        <v>109</v>
      </c>
      <c r="B111" s="21"/>
      <c r="C111" s="6" t="s">
        <v>28</v>
      </c>
      <c r="D111" s="24" t="s">
        <v>226</v>
      </c>
      <c r="E111" s="24" t="s">
        <v>211</v>
      </c>
      <c r="F111" s="6" t="s">
        <v>34</v>
      </c>
      <c r="G111" s="6" t="s">
        <v>34</v>
      </c>
      <c r="H111" s="6" t="s">
        <v>34</v>
      </c>
      <c r="I111" s="6" t="s">
        <v>34</v>
      </c>
      <c r="J111" s="6" t="s">
        <v>34</v>
      </c>
      <c r="K111" s="6" t="s">
        <v>34</v>
      </c>
      <c r="L111" s="6" t="s">
        <v>34</v>
      </c>
      <c r="M111" s="6" t="s">
        <v>34</v>
      </c>
      <c r="N111" s="6" t="s">
        <v>9</v>
      </c>
      <c r="O111" s="30">
        <f t="shared" si="3"/>
        <v>1</v>
      </c>
      <c r="P111" s="6" t="s">
        <v>9</v>
      </c>
      <c r="Q111" s="6" t="s">
        <v>16</v>
      </c>
      <c r="R111" s="6" t="s">
        <v>16</v>
      </c>
      <c r="S111" s="43" t="s">
        <v>9</v>
      </c>
      <c r="T111" s="6" t="s">
        <v>9</v>
      </c>
      <c r="U111" s="30">
        <f t="shared" si="4"/>
        <v>3</v>
      </c>
      <c r="V111" s="6" t="s">
        <v>9</v>
      </c>
      <c r="W111" s="6" t="s">
        <v>9</v>
      </c>
      <c r="X111" s="6" t="s">
        <v>16</v>
      </c>
      <c r="Y111" s="6" t="s">
        <v>9</v>
      </c>
      <c r="Z111" s="6" t="s">
        <v>9</v>
      </c>
      <c r="AA111" s="6" t="s">
        <v>9</v>
      </c>
      <c r="AB111" s="6" t="s">
        <v>9</v>
      </c>
      <c r="AD111" s="30">
        <f t="shared" si="5"/>
        <v>6</v>
      </c>
      <c r="AE111" s="39" t="s">
        <v>21</v>
      </c>
      <c r="AF111" s="10"/>
    </row>
    <row r="112" spans="1:34" x14ac:dyDescent="0.25">
      <c r="A112" s="3" t="s">
        <v>244</v>
      </c>
      <c r="B112" s="21"/>
      <c r="C112" s="6" t="s">
        <v>28</v>
      </c>
      <c r="D112" s="24" t="s">
        <v>11</v>
      </c>
      <c r="E112" s="24" t="s">
        <v>211</v>
      </c>
      <c r="F112" s="43" t="s">
        <v>34</v>
      </c>
      <c r="G112" s="43" t="s">
        <v>34</v>
      </c>
      <c r="H112" s="43" t="s">
        <v>34</v>
      </c>
      <c r="I112" s="43" t="s">
        <v>34</v>
      </c>
      <c r="J112" s="43" t="s">
        <v>34</v>
      </c>
      <c r="K112" s="43" t="s">
        <v>34</v>
      </c>
      <c r="L112" s="43" t="s">
        <v>34</v>
      </c>
      <c r="M112" s="43" t="s">
        <v>34</v>
      </c>
      <c r="N112" s="43" t="s">
        <v>34</v>
      </c>
      <c r="O112" s="30">
        <f t="shared" si="3"/>
        <v>0</v>
      </c>
      <c r="P112" s="43" t="s">
        <v>34</v>
      </c>
      <c r="Q112" s="43" t="s">
        <v>34</v>
      </c>
      <c r="R112" s="43" t="s">
        <v>34</v>
      </c>
      <c r="S112" s="43" t="s">
        <v>34</v>
      </c>
      <c r="T112" s="6" t="s">
        <v>9</v>
      </c>
      <c r="U112" s="30">
        <f t="shared" si="4"/>
        <v>1</v>
      </c>
      <c r="V112" s="43" t="s">
        <v>16</v>
      </c>
      <c r="W112" s="43" t="s">
        <v>9</v>
      </c>
      <c r="X112" s="43" t="s">
        <v>9</v>
      </c>
      <c r="Y112" s="43" t="s">
        <v>9</v>
      </c>
      <c r="Z112" s="43" t="s">
        <v>9</v>
      </c>
      <c r="AA112" s="43" t="s">
        <v>9</v>
      </c>
      <c r="AB112" s="43" t="s">
        <v>9</v>
      </c>
      <c r="AC112" s="43"/>
      <c r="AD112" s="30">
        <f t="shared" si="5"/>
        <v>6</v>
      </c>
      <c r="AE112" s="39"/>
      <c r="AF112" s="10"/>
    </row>
    <row r="113" spans="1:32" x14ac:dyDescent="0.25">
      <c r="A113" s="3" t="s">
        <v>245</v>
      </c>
      <c r="B113" s="21"/>
      <c r="C113" s="6" t="s">
        <v>28</v>
      </c>
      <c r="D113" s="24" t="s">
        <v>11</v>
      </c>
      <c r="E113" s="24" t="s">
        <v>211</v>
      </c>
      <c r="F113" s="43" t="s">
        <v>34</v>
      </c>
      <c r="G113" s="43" t="s">
        <v>34</v>
      </c>
      <c r="H113" s="43" t="s">
        <v>34</v>
      </c>
      <c r="I113" s="43" t="s">
        <v>34</v>
      </c>
      <c r="J113" s="43" t="s">
        <v>34</v>
      </c>
      <c r="K113" s="43" t="s">
        <v>34</v>
      </c>
      <c r="L113" s="43" t="s">
        <v>34</v>
      </c>
      <c r="M113" s="43" t="s">
        <v>34</v>
      </c>
      <c r="N113" s="43" t="s">
        <v>34</v>
      </c>
      <c r="O113" s="30">
        <f t="shared" si="3"/>
        <v>0</v>
      </c>
      <c r="P113" s="43" t="s">
        <v>34</v>
      </c>
      <c r="Q113" s="43" t="s">
        <v>34</v>
      </c>
      <c r="R113" s="43" t="s">
        <v>34</v>
      </c>
      <c r="S113" s="43" t="s">
        <v>34</v>
      </c>
      <c r="T113" s="6" t="s">
        <v>9</v>
      </c>
      <c r="U113" s="30">
        <f t="shared" si="4"/>
        <v>1</v>
      </c>
      <c r="V113" s="43" t="s">
        <v>9</v>
      </c>
      <c r="W113" s="43" t="s">
        <v>16</v>
      </c>
      <c r="X113" s="43" t="s">
        <v>9</v>
      </c>
      <c r="Y113" s="43" t="s">
        <v>9</v>
      </c>
      <c r="Z113" s="43" t="s">
        <v>9</v>
      </c>
      <c r="AA113" s="43" t="s">
        <v>9</v>
      </c>
      <c r="AB113" s="43" t="s">
        <v>9</v>
      </c>
      <c r="AC113" s="43"/>
      <c r="AD113" s="30">
        <f t="shared" si="5"/>
        <v>6</v>
      </c>
      <c r="AE113" s="21"/>
      <c r="AF113" s="12"/>
    </row>
    <row r="114" spans="1:32" x14ac:dyDescent="0.25">
      <c r="A114" s="3" t="s">
        <v>113</v>
      </c>
      <c r="B114" s="21">
        <v>85988780579</v>
      </c>
      <c r="C114" s="6" t="s">
        <v>28</v>
      </c>
      <c r="D114" s="24" t="s">
        <v>226</v>
      </c>
      <c r="E114" s="24" t="s">
        <v>211</v>
      </c>
      <c r="F114" s="6" t="s">
        <v>16</v>
      </c>
      <c r="G114" s="6" t="s">
        <v>16</v>
      </c>
      <c r="H114" s="6" t="s">
        <v>16</v>
      </c>
      <c r="I114" s="6" t="s">
        <v>9</v>
      </c>
      <c r="J114" s="6" t="s">
        <v>9</v>
      </c>
      <c r="K114" s="6" t="s">
        <v>9</v>
      </c>
      <c r="L114" s="6" t="s">
        <v>16</v>
      </c>
      <c r="M114" s="6" t="s">
        <v>16</v>
      </c>
      <c r="N114" s="6" t="s">
        <v>9</v>
      </c>
      <c r="O114" s="30">
        <f t="shared" si="3"/>
        <v>4</v>
      </c>
      <c r="P114" s="6" t="s">
        <v>9</v>
      </c>
      <c r="Q114" s="6" t="s">
        <v>9</v>
      </c>
      <c r="R114" s="6" t="s">
        <v>16</v>
      </c>
      <c r="S114" s="43" t="s">
        <v>16</v>
      </c>
      <c r="T114" s="6" t="s">
        <v>9</v>
      </c>
      <c r="U114" s="30">
        <f t="shared" si="4"/>
        <v>3</v>
      </c>
      <c r="V114" s="6" t="s">
        <v>9</v>
      </c>
      <c r="W114" s="6" t="s">
        <v>9</v>
      </c>
      <c r="X114" s="8" t="s">
        <v>16</v>
      </c>
      <c r="Y114" s="8" t="s">
        <v>16</v>
      </c>
      <c r="Z114" s="8" t="s">
        <v>16</v>
      </c>
      <c r="AA114" s="8" t="s">
        <v>16</v>
      </c>
      <c r="AB114" s="6" t="s">
        <v>16</v>
      </c>
      <c r="AD114" s="30">
        <f t="shared" si="5"/>
        <v>2</v>
      </c>
      <c r="AE114" s="21"/>
      <c r="AF114" s="14" t="s">
        <v>171</v>
      </c>
    </row>
    <row r="115" spans="1:32" x14ac:dyDescent="0.25">
      <c r="A115" s="2" t="s">
        <v>246</v>
      </c>
      <c r="B115" s="21"/>
      <c r="C115" s="6" t="s">
        <v>28</v>
      </c>
      <c r="D115" s="24" t="s">
        <v>11</v>
      </c>
      <c r="E115" s="24" t="s">
        <v>211</v>
      </c>
      <c r="O115" s="30">
        <f t="shared" si="3"/>
        <v>0</v>
      </c>
      <c r="S115" s="43"/>
      <c r="U115" s="30">
        <f t="shared" si="4"/>
        <v>0</v>
      </c>
      <c r="V115" s="6" t="s">
        <v>34</v>
      </c>
      <c r="W115" s="6" t="s">
        <v>9</v>
      </c>
      <c r="X115" s="6" t="s">
        <v>9</v>
      </c>
      <c r="Y115" s="6" t="s">
        <v>9</v>
      </c>
      <c r="Z115" s="6" t="s">
        <v>9</v>
      </c>
      <c r="AA115" s="6" t="s">
        <v>9</v>
      </c>
      <c r="AB115" s="6" t="s">
        <v>9</v>
      </c>
      <c r="AD115" s="30">
        <f t="shared" si="5"/>
        <v>6</v>
      </c>
      <c r="AE115" s="21"/>
      <c r="AF115" s="14"/>
    </row>
    <row r="116" spans="1:32" x14ac:dyDescent="0.25">
      <c r="A116" s="3" t="s">
        <v>247</v>
      </c>
      <c r="B116" s="21"/>
      <c r="C116" s="6" t="s">
        <v>28</v>
      </c>
      <c r="D116" s="24" t="s">
        <v>11</v>
      </c>
      <c r="E116" s="24" t="s">
        <v>211</v>
      </c>
      <c r="F116" s="43" t="s">
        <v>34</v>
      </c>
      <c r="G116" s="43" t="s">
        <v>34</v>
      </c>
      <c r="H116" s="43" t="s">
        <v>34</v>
      </c>
      <c r="I116" s="43" t="s">
        <v>34</v>
      </c>
      <c r="J116" s="43" t="s">
        <v>34</v>
      </c>
      <c r="K116" s="43" t="s">
        <v>34</v>
      </c>
      <c r="L116" s="43" t="s">
        <v>34</v>
      </c>
      <c r="M116" s="43" t="s">
        <v>34</v>
      </c>
      <c r="N116" s="43" t="s">
        <v>34</v>
      </c>
      <c r="O116" s="30">
        <f t="shared" si="3"/>
        <v>0</v>
      </c>
      <c r="P116" s="43" t="s">
        <v>34</v>
      </c>
      <c r="Q116" s="43" t="s">
        <v>34</v>
      </c>
      <c r="R116" s="43" t="s">
        <v>34</v>
      </c>
      <c r="S116" s="43" t="s">
        <v>34</v>
      </c>
      <c r="T116" s="6" t="s">
        <v>9</v>
      </c>
      <c r="U116" s="30">
        <f t="shared" si="4"/>
        <v>1</v>
      </c>
      <c r="V116" s="43" t="s">
        <v>9</v>
      </c>
      <c r="W116" s="43" t="s">
        <v>9</v>
      </c>
      <c r="X116" s="43" t="s">
        <v>9</v>
      </c>
      <c r="Y116" s="43" t="s">
        <v>9</v>
      </c>
      <c r="Z116" s="43" t="s">
        <v>9</v>
      </c>
      <c r="AA116" s="43" t="s">
        <v>23</v>
      </c>
      <c r="AB116" s="43" t="s">
        <v>16</v>
      </c>
      <c r="AC116" s="43"/>
      <c r="AD116" s="30">
        <f t="shared" si="5"/>
        <v>5</v>
      </c>
      <c r="AE116" s="38"/>
      <c r="AF116" s="13"/>
    </row>
    <row r="117" spans="1:32" x14ac:dyDescent="0.25">
      <c r="A117" s="2" t="s">
        <v>248</v>
      </c>
      <c r="B117" s="21"/>
      <c r="C117" s="6" t="s">
        <v>28</v>
      </c>
      <c r="D117" s="24" t="s">
        <v>11</v>
      </c>
      <c r="E117" s="24" t="s">
        <v>211</v>
      </c>
      <c r="O117" s="30">
        <f t="shared" si="3"/>
        <v>0</v>
      </c>
      <c r="S117" s="43" t="s">
        <v>34</v>
      </c>
      <c r="T117" s="43" t="s">
        <v>34</v>
      </c>
      <c r="U117" s="30">
        <f t="shared" si="4"/>
        <v>0</v>
      </c>
      <c r="V117" s="6" t="s">
        <v>9</v>
      </c>
      <c r="W117" s="6" t="s">
        <v>9</v>
      </c>
      <c r="X117" s="6" t="s">
        <v>9</v>
      </c>
      <c r="Y117" s="6" t="s">
        <v>23</v>
      </c>
      <c r="Z117" s="6" t="s">
        <v>16</v>
      </c>
      <c r="AA117" s="6" t="s">
        <v>16</v>
      </c>
      <c r="AB117" s="6" t="s">
        <v>16</v>
      </c>
      <c r="AD117" s="30">
        <f t="shared" si="5"/>
        <v>3</v>
      </c>
      <c r="AE117" s="38"/>
      <c r="AF117" s="14"/>
    </row>
    <row r="118" spans="1:32" x14ac:dyDescent="0.25">
      <c r="A118" s="2" t="s">
        <v>249</v>
      </c>
      <c r="B118" s="21"/>
      <c r="C118" s="6" t="s">
        <v>28</v>
      </c>
      <c r="D118" s="24" t="s">
        <v>11</v>
      </c>
      <c r="E118" s="24" t="s">
        <v>211</v>
      </c>
      <c r="O118" s="30">
        <f t="shared" si="3"/>
        <v>0</v>
      </c>
      <c r="S118" s="43" t="s">
        <v>34</v>
      </c>
      <c r="T118" s="43" t="s">
        <v>34</v>
      </c>
      <c r="U118" s="30">
        <f t="shared" si="4"/>
        <v>0</v>
      </c>
      <c r="V118" s="6" t="s">
        <v>9</v>
      </c>
      <c r="W118" s="6" t="s">
        <v>9</v>
      </c>
      <c r="X118" s="6" t="s">
        <v>9</v>
      </c>
      <c r="Y118" s="6" t="s">
        <v>9</v>
      </c>
      <c r="Z118" s="6" t="s">
        <v>23</v>
      </c>
      <c r="AA118" s="6" t="s">
        <v>9</v>
      </c>
      <c r="AB118" s="6" t="s">
        <v>9</v>
      </c>
      <c r="AD118" s="30">
        <f t="shared" si="5"/>
        <v>6</v>
      </c>
      <c r="AE118" s="38"/>
      <c r="AF118" s="14"/>
    </row>
    <row r="119" spans="1:32" s="3" customFormat="1" x14ac:dyDescent="0.25">
      <c r="A119" s="3" t="s">
        <v>115</v>
      </c>
      <c r="B119" s="21">
        <v>85999625676</v>
      </c>
      <c r="C119" s="6" t="s">
        <v>210</v>
      </c>
      <c r="D119" s="24" t="s">
        <v>20</v>
      </c>
      <c r="E119" s="24" t="s">
        <v>211</v>
      </c>
      <c r="F119" s="6" t="s">
        <v>9</v>
      </c>
      <c r="G119" s="6" t="s">
        <v>16</v>
      </c>
      <c r="H119" s="6" t="s">
        <v>16</v>
      </c>
      <c r="I119" s="6" t="s">
        <v>16</v>
      </c>
      <c r="J119" s="6" t="s">
        <v>16</v>
      </c>
      <c r="K119" s="6" t="s">
        <v>16</v>
      </c>
      <c r="L119" s="6" t="s">
        <v>16</v>
      </c>
      <c r="M119" s="6" t="s">
        <v>9</v>
      </c>
      <c r="N119" s="6" t="s">
        <v>9</v>
      </c>
      <c r="O119" s="30">
        <f t="shared" si="3"/>
        <v>3</v>
      </c>
      <c r="P119" s="6" t="s">
        <v>9</v>
      </c>
      <c r="Q119" s="6" t="s">
        <v>9</v>
      </c>
      <c r="R119" s="6" t="s">
        <v>9</v>
      </c>
      <c r="S119" s="6" t="s">
        <v>9</v>
      </c>
      <c r="T119" s="6" t="s">
        <v>9</v>
      </c>
      <c r="U119" s="30">
        <f t="shared" si="4"/>
        <v>5</v>
      </c>
      <c r="V119" s="6" t="s">
        <v>9</v>
      </c>
      <c r="W119" s="6" t="s">
        <v>9</v>
      </c>
      <c r="X119" s="6" t="s">
        <v>9</v>
      </c>
      <c r="Y119" s="6" t="s">
        <v>9</v>
      </c>
      <c r="Z119" s="6" t="s">
        <v>9</v>
      </c>
      <c r="AA119" s="6" t="s">
        <v>16</v>
      </c>
      <c r="AB119" s="6" t="s">
        <v>9</v>
      </c>
      <c r="AC119" s="6"/>
      <c r="AD119" s="30">
        <f t="shared" si="5"/>
        <v>6</v>
      </c>
      <c r="AE119" s="21"/>
      <c r="AF119" s="74" t="s">
        <v>191</v>
      </c>
    </row>
    <row r="120" spans="1:32" x14ac:dyDescent="0.25">
      <c r="A120" s="2" t="s">
        <v>250</v>
      </c>
      <c r="B120" s="21"/>
      <c r="C120" s="6" t="s">
        <v>28</v>
      </c>
      <c r="D120" s="24" t="s">
        <v>11</v>
      </c>
      <c r="E120" s="24" t="s">
        <v>211</v>
      </c>
      <c r="O120" s="30">
        <f t="shared" si="3"/>
        <v>0</v>
      </c>
      <c r="S120" s="43" t="s">
        <v>34</v>
      </c>
      <c r="T120" s="43" t="s">
        <v>34</v>
      </c>
      <c r="U120" s="30">
        <f t="shared" si="4"/>
        <v>0</v>
      </c>
      <c r="V120" s="6" t="s">
        <v>9</v>
      </c>
      <c r="W120" s="6" t="s">
        <v>9</v>
      </c>
      <c r="X120" s="6" t="s">
        <v>9</v>
      </c>
      <c r="Y120" s="6" t="s">
        <v>9</v>
      </c>
      <c r="Z120" s="6" t="s">
        <v>23</v>
      </c>
      <c r="AA120" s="6" t="s">
        <v>9</v>
      </c>
      <c r="AB120" s="6" t="s">
        <v>9</v>
      </c>
      <c r="AD120" s="30">
        <f t="shared" si="5"/>
        <v>6</v>
      </c>
      <c r="AE120" s="38"/>
      <c r="AF120" s="14"/>
    </row>
    <row r="121" spans="1:32" x14ac:dyDescent="0.25">
      <c r="A121" s="3" t="s">
        <v>251</v>
      </c>
      <c r="B121" s="21"/>
      <c r="C121" s="6" t="s">
        <v>28</v>
      </c>
      <c r="D121" s="24" t="s">
        <v>11</v>
      </c>
      <c r="E121" s="24" t="s">
        <v>211</v>
      </c>
      <c r="F121" s="43" t="s">
        <v>34</v>
      </c>
      <c r="G121" s="43" t="s">
        <v>34</v>
      </c>
      <c r="H121" s="43" t="s">
        <v>34</v>
      </c>
      <c r="I121" s="43" t="s">
        <v>34</v>
      </c>
      <c r="J121" s="43" t="s">
        <v>34</v>
      </c>
      <c r="K121" s="43" t="s">
        <v>34</v>
      </c>
      <c r="L121" s="43" t="s">
        <v>34</v>
      </c>
      <c r="M121" s="43" t="s">
        <v>34</v>
      </c>
      <c r="N121" s="43" t="s">
        <v>34</v>
      </c>
      <c r="O121" s="30">
        <f t="shared" si="3"/>
        <v>0</v>
      </c>
      <c r="P121" s="43" t="s">
        <v>34</v>
      </c>
      <c r="Q121" s="43" t="s">
        <v>34</v>
      </c>
      <c r="R121" s="43" t="s">
        <v>34</v>
      </c>
      <c r="S121" s="43" t="s">
        <v>34</v>
      </c>
      <c r="T121" s="6" t="s">
        <v>9</v>
      </c>
      <c r="U121" s="30">
        <f t="shared" si="4"/>
        <v>1</v>
      </c>
      <c r="V121" s="43" t="s">
        <v>9</v>
      </c>
      <c r="W121" s="43" t="s">
        <v>9</v>
      </c>
      <c r="X121" s="43" t="s">
        <v>9</v>
      </c>
      <c r="Y121" s="43" t="s">
        <v>16</v>
      </c>
      <c r="Z121" s="43" t="s">
        <v>9</v>
      </c>
      <c r="AA121" s="43" t="s">
        <v>9</v>
      </c>
      <c r="AB121" s="43" t="s">
        <v>9</v>
      </c>
      <c r="AC121" s="43"/>
      <c r="AD121" s="30">
        <f t="shared" si="5"/>
        <v>6</v>
      </c>
      <c r="AE121" s="38"/>
      <c r="AF121" s="15"/>
    </row>
    <row r="122" spans="1:32" x14ac:dyDescent="0.25">
      <c r="A122" s="3" t="s">
        <v>122</v>
      </c>
      <c r="B122" s="21">
        <v>85992809861</v>
      </c>
      <c r="C122" s="6" t="s">
        <v>28</v>
      </c>
      <c r="D122" s="24" t="s">
        <v>226</v>
      </c>
      <c r="E122" s="24" t="s">
        <v>211</v>
      </c>
      <c r="F122" s="6" t="s">
        <v>9</v>
      </c>
      <c r="G122" s="6" t="s">
        <v>16</v>
      </c>
      <c r="H122" s="6" t="s">
        <v>16</v>
      </c>
      <c r="I122" s="6" t="s">
        <v>16</v>
      </c>
      <c r="J122" s="6" t="s">
        <v>16</v>
      </c>
      <c r="K122" s="6" t="s">
        <v>9</v>
      </c>
      <c r="L122" s="6" t="s">
        <v>9</v>
      </c>
      <c r="M122" s="6" t="s">
        <v>9</v>
      </c>
      <c r="N122" s="6" t="s">
        <v>16</v>
      </c>
      <c r="O122" s="30">
        <f t="shared" si="3"/>
        <v>4</v>
      </c>
      <c r="P122" s="6" t="s">
        <v>9</v>
      </c>
      <c r="Q122" s="6" t="s">
        <v>9</v>
      </c>
      <c r="R122" s="6" t="s">
        <v>9</v>
      </c>
      <c r="S122" s="43" t="s">
        <v>9</v>
      </c>
      <c r="T122" s="6" t="s">
        <v>9</v>
      </c>
      <c r="U122" s="30">
        <f t="shared" si="4"/>
        <v>5</v>
      </c>
      <c r="V122" s="6" t="s">
        <v>9</v>
      </c>
      <c r="W122" s="6" t="s">
        <v>16</v>
      </c>
      <c r="X122" s="6" t="s">
        <v>16</v>
      </c>
      <c r="Y122" s="6" t="s">
        <v>9</v>
      </c>
      <c r="Z122" s="6" t="s">
        <v>16</v>
      </c>
      <c r="AA122" s="6" t="s">
        <v>9</v>
      </c>
      <c r="AB122" s="6" t="s">
        <v>16</v>
      </c>
      <c r="AD122" s="30">
        <f t="shared" si="5"/>
        <v>3</v>
      </c>
      <c r="AE122" s="21"/>
      <c r="AF122" s="14" t="s">
        <v>171</v>
      </c>
    </row>
    <row r="123" spans="1:32" x14ac:dyDescent="0.25">
      <c r="A123" s="3" t="s">
        <v>252</v>
      </c>
      <c r="B123" s="21"/>
      <c r="C123" s="6" t="s">
        <v>28</v>
      </c>
      <c r="D123" s="24" t="s">
        <v>11</v>
      </c>
      <c r="E123" s="24" t="s">
        <v>211</v>
      </c>
      <c r="F123" s="43" t="s">
        <v>34</v>
      </c>
      <c r="G123" s="43" t="s">
        <v>34</v>
      </c>
      <c r="H123" s="43" t="s">
        <v>34</v>
      </c>
      <c r="I123" s="43" t="s">
        <v>34</v>
      </c>
      <c r="J123" s="43" t="s">
        <v>34</v>
      </c>
      <c r="K123" s="43" t="s">
        <v>34</v>
      </c>
      <c r="L123" s="43" t="s">
        <v>34</v>
      </c>
      <c r="M123" s="43" t="s">
        <v>34</v>
      </c>
      <c r="N123" s="43" t="s">
        <v>34</v>
      </c>
      <c r="O123" s="30">
        <f t="shared" si="3"/>
        <v>0</v>
      </c>
      <c r="P123" s="43" t="s">
        <v>34</v>
      </c>
      <c r="Q123" s="43" t="s">
        <v>34</v>
      </c>
      <c r="R123" s="43" t="s">
        <v>34</v>
      </c>
      <c r="S123" s="43" t="s">
        <v>34</v>
      </c>
      <c r="T123" s="6" t="s">
        <v>16</v>
      </c>
      <c r="U123" s="30">
        <f t="shared" si="4"/>
        <v>0</v>
      </c>
      <c r="V123" s="43" t="s">
        <v>9</v>
      </c>
      <c r="W123" s="43" t="s">
        <v>9</v>
      </c>
      <c r="X123" s="43" t="s">
        <v>9</v>
      </c>
      <c r="Y123" s="43" t="s">
        <v>16</v>
      </c>
      <c r="Z123" s="43" t="s">
        <v>16</v>
      </c>
      <c r="AA123" s="43" t="s">
        <v>16</v>
      </c>
      <c r="AB123" s="43" t="s">
        <v>9</v>
      </c>
      <c r="AC123" s="43"/>
      <c r="AD123" s="30">
        <f t="shared" si="5"/>
        <v>4</v>
      </c>
    </row>
    <row r="124" spans="1:32" x14ac:dyDescent="0.25">
      <c r="A124" s="3" t="s">
        <v>134</v>
      </c>
      <c r="B124" s="21">
        <v>85992436222</v>
      </c>
      <c r="C124" s="6" t="s">
        <v>28</v>
      </c>
      <c r="D124" s="24" t="s">
        <v>226</v>
      </c>
      <c r="E124" s="24" t="s">
        <v>211</v>
      </c>
      <c r="F124" s="6" t="s">
        <v>9</v>
      </c>
      <c r="G124" s="6" t="s">
        <v>9</v>
      </c>
      <c r="H124" s="6" t="s">
        <v>9</v>
      </c>
      <c r="I124" s="6" t="s">
        <v>9</v>
      </c>
      <c r="J124" s="6" t="s">
        <v>9</v>
      </c>
      <c r="K124" s="6" t="s">
        <v>9</v>
      </c>
      <c r="L124" s="6" t="s">
        <v>9</v>
      </c>
      <c r="M124" s="6" t="s">
        <v>9</v>
      </c>
      <c r="N124" s="6" t="s">
        <v>9</v>
      </c>
      <c r="O124" s="30">
        <f t="shared" si="3"/>
        <v>9</v>
      </c>
      <c r="P124" s="6" t="s">
        <v>9</v>
      </c>
      <c r="Q124" s="6" t="s">
        <v>9</v>
      </c>
      <c r="R124" s="6" t="s">
        <v>9</v>
      </c>
      <c r="S124" s="43" t="s">
        <v>9</v>
      </c>
      <c r="T124" s="6" t="s">
        <v>16</v>
      </c>
      <c r="U124" s="30">
        <f t="shared" si="4"/>
        <v>4</v>
      </c>
      <c r="V124" s="6" t="s">
        <v>9</v>
      </c>
      <c r="W124" s="6" t="s">
        <v>9</v>
      </c>
      <c r="X124" s="6" t="s">
        <v>9</v>
      </c>
      <c r="Y124" s="6" t="s">
        <v>9</v>
      </c>
      <c r="Z124" s="6" t="s">
        <v>9</v>
      </c>
      <c r="AA124" s="6" t="s">
        <v>9</v>
      </c>
      <c r="AB124" s="6" t="s">
        <v>9</v>
      </c>
      <c r="AD124" s="30">
        <f t="shared" si="5"/>
        <v>7</v>
      </c>
      <c r="AE124" s="21"/>
      <c r="AF124" s="14" t="s">
        <v>170</v>
      </c>
    </row>
    <row r="125" spans="1:32" x14ac:dyDescent="0.25">
      <c r="A125" s="3" t="s">
        <v>138</v>
      </c>
      <c r="B125" s="21">
        <v>85988714047</v>
      </c>
      <c r="C125" s="6" t="s">
        <v>28</v>
      </c>
      <c r="D125" s="24" t="s">
        <v>226</v>
      </c>
      <c r="E125" s="24" t="s">
        <v>211</v>
      </c>
      <c r="F125" s="6" t="s">
        <v>16</v>
      </c>
      <c r="G125" s="6" t="s">
        <v>16</v>
      </c>
      <c r="H125" s="6" t="s">
        <v>16</v>
      </c>
      <c r="I125" s="6" t="s">
        <v>16</v>
      </c>
      <c r="J125" s="6" t="s">
        <v>16</v>
      </c>
      <c r="K125" s="6" t="s">
        <v>9</v>
      </c>
      <c r="L125" s="6" t="s">
        <v>9</v>
      </c>
      <c r="M125" s="6" t="s">
        <v>9</v>
      </c>
      <c r="N125" s="6" t="s">
        <v>16</v>
      </c>
      <c r="O125" s="30">
        <f t="shared" si="3"/>
        <v>3</v>
      </c>
      <c r="P125" s="6" t="s">
        <v>9</v>
      </c>
      <c r="Q125" s="6" t="s">
        <v>9</v>
      </c>
      <c r="R125" s="6" t="s">
        <v>9</v>
      </c>
      <c r="S125" s="43" t="s">
        <v>9</v>
      </c>
      <c r="T125" s="6" t="s">
        <v>16</v>
      </c>
      <c r="U125" s="30">
        <f t="shared" si="4"/>
        <v>4</v>
      </c>
      <c r="V125" s="6" t="s">
        <v>9</v>
      </c>
      <c r="W125" s="6" t="s">
        <v>16</v>
      </c>
      <c r="X125" s="6" t="s">
        <v>16</v>
      </c>
      <c r="Y125" s="6" t="s">
        <v>9</v>
      </c>
      <c r="Z125" s="6" t="s">
        <v>16</v>
      </c>
      <c r="AA125" s="6" t="s">
        <v>9</v>
      </c>
      <c r="AB125" s="6" t="s">
        <v>16</v>
      </c>
      <c r="AD125" s="30">
        <f t="shared" si="5"/>
        <v>3</v>
      </c>
      <c r="AE125" s="21"/>
      <c r="AF125" s="12" t="s">
        <v>173</v>
      </c>
    </row>
    <row r="126" spans="1:32" x14ac:dyDescent="0.25">
      <c r="A126" s="2" t="s">
        <v>253</v>
      </c>
      <c r="B126" s="21"/>
      <c r="C126" s="6" t="s">
        <v>28</v>
      </c>
      <c r="D126" s="24" t="s">
        <v>11</v>
      </c>
      <c r="E126" s="24" t="s">
        <v>211</v>
      </c>
      <c r="O126" s="30">
        <f t="shared" si="3"/>
        <v>0</v>
      </c>
      <c r="S126" s="43" t="s">
        <v>34</v>
      </c>
      <c r="T126" s="43" t="s">
        <v>34</v>
      </c>
      <c r="U126" s="30">
        <f t="shared" si="4"/>
        <v>0</v>
      </c>
      <c r="V126" s="6" t="s">
        <v>9</v>
      </c>
      <c r="W126" s="6" t="s">
        <v>9</v>
      </c>
      <c r="X126" s="6" t="s">
        <v>9</v>
      </c>
      <c r="Y126" s="6" t="s">
        <v>9</v>
      </c>
      <c r="Z126" s="6" t="s">
        <v>23</v>
      </c>
      <c r="AA126" s="6" t="s">
        <v>9</v>
      </c>
      <c r="AB126" s="6" t="s">
        <v>9</v>
      </c>
      <c r="AD126" s="30">
        <f t="shared" si="5"/>
        <v>6</v>
      </c>
      <c r="AE126" s="21"/>
      <c r="AF126" s="12"/>
    </row>
    <row r="127" spans="1:32" x14ac:dyDescent="0.25">
      <c r="A127" s="3" t="s">
        <v>254</v>
      </c>
      <c r="B127" s="21"/>
      <c r="C127" s="6" t="s">
        <v>28</v>
      </c>
      <c r="D127" s="24" t="s">
        <v>11</v>
      </c>
      <c r="E127" s="24" t="s">
        <v>211</v>
      </c>
      <c r="O127" s="30">
        <f t="shared" si="3"/>
        <v>0</v>
      </c>
      <c r="S127" s="43" t="s">
        <v>34</v>
      </c>
      <c r="T127" s="43" t="s">
        <v>34</v>
      </c>
      <c r="U127" s="30">
        <f t="shared" si="4"/>
        <v>0</v>
      </c>
      <c r="V127" s="6" t="s">
        <v>9</v>
      </c>
      <c r="W127" s="6" t="s">
        <v>9</v>
      </c>
      <c r="X127" s="6" t="s">
        <v>9</v>
      </c>
      <c r="Y127" s="6" t="s">
        <v>9</v>
      </c>
      <c r="Z127" s="6" t="s">
        <v>23</v>
      </c>
      <c r="AA127" s="6" t="s">
        <v>9</v>
      </c>
      <c r="AB127" s="6" t="s">
        <v>9</v>
      </c>
      <c r="AD127" s="30">
        <f t="shared" si="5"/>
        <v>6</v>
      </c>
      <c r="AE127" s="21"/>
      <c r="AF127" s="12"/>
    </row>
    <row r="128" spans="1:32" x14ac:dyDescent="0.25">
      <c r="A128" s="3" t="s">
        <v>255</v>
      </c>
      <c r="B128" s="21"/>
      <c r="C128" s="6" t="s">
        <v>28</v>
      </c>
      <c r="D128" s="24" t="s">
        <v>11</v>
      </c>
      <c r="E128" s="24" t="s">
        <v>211</v>
      </c>
      <c r="F128" s="43" t="s">
        <v>34</v>
      </c>
      <c r="G128" s="43" t="s">
        <v>34</v>
      </c>
      <c r="H128" s="43" t="s">
        <v>34</v>
      </c>
      <c r="I128" s="43" t="s">
        <v>34</v>
      </c>
      <c r="J128" s="43" t="s">
        <v>34</v>
      </c>
      <c r="K128" s="43" t="s">
        <v>34</v>
      </c>
      <c r="L128" s="43" t="s">
        <v>34</v>
      </c>
      <c r="M128" s="43" t="s">
        <v>34</v>
      </c>
      <c r="N128" s="43" t="s">
        <v>34</v>
      </c>
      <c r="O128" s="30">
        <f t="shared" si="3"/>
        <v>0</v>
      </c>
      <c r="P128" s="43" t="s">
        <v>34</v>
      </c>
      <c r="Q128" s="43" t="s">
        <v>34</v>
      </c>
      <c r="R128" s="43" t="s">
        <v>34</v>
      </c>
      <c r="S128" s="43" t="s">
        <v>9</v>
      </c>
      <c r="T128" s="6" t="s">
        <v>9</v>
      </c>
      <c r="U128" s="30">
        <f t="shared" si="4"/>
        <v>2</v>
      </c>
      <c r="V128" s="43" t="s">
        <v>16</v>
      </c>
      <c r="W128" s="43" t="s">
        <v>16</v>
      </c>
      <c r="X128" s="43" t="s">
        <v>9</v>
      </c>
      <c r="Y128" s="43" t="s">
        <v>9</v>
      </c>
      <c r="Z128" s="43" t="s">
        <v>23</v>
      </c>
      <c r="AA128" s="43" t="s">
        <v>9</v>
      </c>
      <c r="AB128" s="43" t="s">
        <v>16</v>
      </c>
      <c r="AC128" s="43"/>
      <c r="AD128" s="30">
        <f t="shared" si="5"/>
        <v>3</v>
      </c>
      <c r="AE128" s="21"/>
      <c r="AF128" s="10"/>
    </row>
    <row r="129" spans="1:34" x14ac:dyDescent="0.25">
      <c r="A129" s="2" t="s">
        <v>256</v>
      </c>
      <c r="B129" s="21"/>
      <c r="C129" s="6" t="s">
        <v>28</v>
      </c>
      <c r="D129" s="24" t="s">
        <v>11</v>
      </c>
      <c r="E129" s="24" t="s">
        <v>211</v>
      </c>
      <c r="F129" s="43"/>
      <c r="G129" s="43"/>
      <c r="H129" s="43"/>
      <c r="I129" s="43"/>
      <c r="J129" s="43"/>
      <c r="K129" s="43"/>
      <c r="L129" s="43"/>
      <c r="M129" s="43"/>
      <c r="N129" s="43"/>
      <c r="O129" s="30">
        <f t="shared" si="3"/>
        <v>0</v>
      </c>
      <c r="P129" s="43"/>
      <c r="Q129" s="43"/>
      <c r="R129" s="43"/>
      <c r="S129" s="43" t="s">
        <v>34</v>
      </c>
      <c r="T129" s="43" t="s">
        <v>34</v>
      </c>
      <c r="U129" s="30">
        <f t="shared" si="4"/>
        <v>0</v>
      </c>
      <c r="V129" s="6" t="s">
        <v>9</v>
      </c>
      <c r="W129" s="43" t="s">
        <v>9</v>
      </c>
      <c r="X129" s="43" t="s">
        <v>9</v>
      </c>
      <c r="Y129" s="43" t="s">
        <v>16</v>
      </c>
      <c r="Z129" s="43" t="s">
        <v>9</v>
      </c>
      <c r="AA129" s="43" t="s">
        <v>9</v>
      </c>
      <c r="AB129" s="43" t="s">
        <v>9</v>
      </c>
      <c r="AC129" s="43"/>
      <c r="AD129" s="30">
        <f t="shared" si="5"/>
        <v>6</v>
      </c>
      <c r="AE129" s="21"/>
      <c r="AF129" s="10"/>
    </row>
    <row r="130" spans="1:34" x14ac:dyDescent="0.25">
      <c r="A130" s="3" t="s">
        <v>257</v>
      </c>
      <c r="B130" s="21"/>
      <c r="C130" s="6" t="s">
        <v>28</v>
      </c>
      <c r="D130" s="24" t="s">
        <v>11</v>
      </c>
      <c r="E130" s="24" t="s">
        <v>211</v>
      </c>
      <c r="F130" s="43" t="s">
        <v>34</v>
      </c>
      <c r="G130" s="43" t="s">
        <v>34</v>
      </c>
      <c r="H130" s="43" t="s">
        <v>34</v>
      </c>
      <c r="I130" s="43" t="s">
        <v>34</v>
      </c>
      <c r="J130" s="43" t="s">
        <v>34</v>
      </c>
      <c r="K130" s="43" t="s">
        <v>34</v>
      </c>
      <c r="L130" s="43" t="s">
        <v>34</v>
      </c>
      <c r="M130" s="43" t="s">
        <v>34</v>
      </c>
      <c r="N130" s="43" t="s">
        <v>34</v>
      </c>
      <c r="O130" s="30">
        <f t="shared" si="3"/>
        <v>0</v>
      </c>
      <c r="P130" s="43" t="s">
        <v>34</v>
      </c>
      <c r="Q130" s="43" t="s">
        <v>34</v>
      </c>
      <c r="R130" s="43" t="s">
        <v>34</v>
      </c>
      <c r="S130" s="43" t="s">
        <v>34</v>
      </c>
      <c r="T130" s="6" t="s">
        <v>9</v>
      </c>
      <c r="U130" s="30">
        <f t="shared" si="4"/>
        <v>1</v>
      </c>
      <c r="V130" s="43" t="s">
        <v>9</v>
      </c>
      <c r="W130" s="43" t="s">
        <v>9</v>
      </c>
      <c r="X130" s="43" t="s">
        <v>9</v>
      </c>
      <c r="Y130" s="43" t="s">
        <v>9</v>
      </c>
      <c r="Z130" s="43" t="s">
        <v>9</v>
      </c>
      <c r="AA130" s="43" t="s">
        <v>9</v>
      </c>
      <c r="AB130" s="43" t="s">
        <v>16</v>
      </c>
      <c r="AC130" s="43"/>
      <c r="AD130" s="30">
        <f t="shared" si="5"/>
        <v>6</v>
      </c>
      <c r="AE130" s="21"/>
      <c r="AF130" s="10"/>
    </row>
    <row r="131" spans="1:34" x14ac:dyDescent="0.25">
      <c r="A131" s="3" t="s">
        <v>144</v>
      </c>
      <c r="B131" s="21">
        <v>85994258072</v>
      </c>
      <c r="C131" s="6" t="s">
        <v>28</v>
      </c>
      <c r="D131" s="24" t="s">
        <v>226</v>
      </c>
      <c r="E131" s="24" t="s">
        <v>211</v>
      </c>
      <c r="F131" s="6" t="s">
        <v>9</v>
      </c>
      <c r="G131" s="6" t="s">
        <v>9</v>
      </c>
      <c r="H131" s="6" t="s">
        <v>9</v>
      </c>
      <c r="I131" s="6" t="s">
        <v>16</v>
      </c>
      <c r="J131" s="6" t="s">
        <v>9</v>
      </c>
      <c r="K131" s="6" t="s">
        <v>9</v>
      </c>
      <c r="L131" s="6" t="s">
        <v>9</v>
      </c>
      <c r="M131" s="6" t="s">
        <v>9</v>
      </c>
      <c r="N131" s="6" t="s">
        <v>9</v>
      </c>
      <c r="O131" s="30">
        <f t="shared" ref="O131:O132" si="6">COUNTIF(F131:N131,"P")</f>
        <v>8</v>
      </c>
      <c r="P131" s="6" t="s">
        <v>23</v>
      </c>
      <c r="Q131" s="6" t="s">
        <v>16</v>
      </c>
      <c r="R131" s="6" t="s">
        <v>9</v>
      </c>
      <c r="S131" s="43" t="s">
        <v>9</v>
      </c>
      <c r="T131" s="6" t="s">
        <v>9</v>
      </c>
      <c r="U131" s="30">
        <f t="shared" ref="U131:U162" si="7">COUNTIF(P131:T131,"P")</f>
        <v>3</v>
      </c>
      <c r="V131" s="6" t="s">
        <v>9</v>
      </c>
      <c r="W131" s="6" t="s">
        <v>9</v>
      </c>
      <c r="X131" s="6" t="s">
        <v>9</v>
      </c>
      <c r="Y131" s="6" t="s">
        <v>9</v>
      </c>
      <c r="Z131" s="6" t="s">
        <v>9</v>
      </c>
      <c r="AA131" s="6" t="s">
        <v>9</v>
      </c>
      <c r="AB131" s="6" t="s">
        <v>9</v>
      </c>
      <c r="AD131" s="30">
        <f t="shared" ref="AD131:AD162" si="8">COUNTIF(V131:AC131,"P")</f>
        <v>7</v>
      </c>
      <c r="AE131" s="38" t="s">
        <v>17</v>
      </c>
      <c r="AF131" s="14" t="s">
        <v>170</v>
      </c>
      <c r="AG131" s="2" t="s">
        <v>145</v>
      </c>
    </row>
    <row r="132" spans="1:34" x14ac:dyDescent="0.25">
      <c r="A132" s="3" t="s">
        <v>147</v>
      </c>
      <c r="B132" s="21">
        <v>85992442476</v>
      </c>
      <c r="C132" s="6" t="s">
        <v>28</v>
      </c>
      <c r="D132" s="24" t="s">
        <v>226</v>
      </c>
      <c r="E132" s="24" t="s">
        <v>211</v>
      </c>
      <c r="F132" s="6" t="s">
        <v>9</v>
      </c>
      <c r="G132" s="6" t="s">
        <v>9</v>
      </c>
      <c r="H132" s="6" t="s">
        <v>9</v>
      </c>
      <c r="I132" s="6" t="s">
        <v>9</v>
      </c>
      <c r="J132" s="6" t="s">
        <v>9</v>
      </c>
      <c r="K132" s="6" t="s">
        <v>9</v>
      </c>
      <c r="L132" s="6" t="s">
        <v>16</v>
      </c>
      <c r="M132" s="6" t="s">
        <v>9</v>
      </c>
      <c r="N132" s="6" t="s">
        <v>9</v>
      </c>
      <c r="O132" s="30">
        <f t="shared" si="6"/>
        <v>8</v>
      </c>
      <c r="P132" s="6" t="s">
        <v>16</v>
      </c>
      <c r="Q132" s="6" t="s">
        <v>16</v>
      </c>
      <c r="R132" s="6" t="s">
        <v>9</v>
      </c>
      <c r="S132" s="43" t="s">
        <v>9</v>
      </c>
      <c r="T132" s="6" t="s">
        <v>9</v>
      </c>
      <c r="U132" s="30">
        <f t="shared" si="7"/>
        <v>3</v>
      </c>
      <c r="V132" s="6" t="s">
        <v>9</v>
      </c>
      <c r="W132" s="6" t="s">
        <v>9</v>
      </c>
      <c r="X132" s="6" t="s">
        <v>9</v>
      </c>
      <c r="Y132" s="6" t="s">
        <v>16</v>
      </c>
      <c r="Z132" s="6" t="s">
        <v>9</v>
      </c>
      <c r="AA132" s="6" t="s">
        <v>9</v>
      </c>
      <c r="AB132" s="6" t="s">
        <v>23</v>
      </c>
      <c r="AD132" s="30">
        <f t="shared" si="8"/>
        <v>5</v>
      </c>
      <c r="AE132" s="38" t="s">
        <v>17</v>
      </c>
      <c r="AF132" s="14" t="s">
        <v>171</v>
      </c>
      <c r="AG132" s="2" t="s">
        <v>18</v>
      </c>
    </row>
    <row r="133" spans="1:34" x14ac:dyDescent="0.25">
      <c r="A133" s="3" t="s">
        <v>258</v>
      </c>
      <c r="B133" s="21"/>
      <c r="C133" s="6" t="s">
        <v>28</v>
      </c>
      <c r="D133" s="24" t="s">
        <v>11</v>
      </c>
      <c r="E133" s="24" t="s">
        <v>211</v>
      </c>
      <c r="F133" s="43" t="s">
        <v>34</v>
      </c>
      <c r="G133" s="43" t="s">
        <v>34</v>
      </c>
      <c r="H133" s="43" t="s">
        <v>34</v>
      </c>
      <c r="I133" s="43" t="s">
        <v>34</v>
      </c>
      <c r="J133" s="43" t="s">
        <v>34</v>
      </c>
      <c r="K133" s="43" t="s">
        <v>34</v>
      </c>
      <c r="L133" s="43" t="s">
        <v>34</v>
      </c>
      <c r="M133" s="43" t="s">
        <v>34</v>
      </c>
      <c r="N133" s="43" t="s">
        <v>34</v>
      </c>
      <c r="O133" s="30">
        <f t="shared" ref="O133:O162" si="9">COUNTIF(F133:N133,"P")</f>
        <v>0</v>
      </c>
      <c r="P133" s="43" t="s">
        <v>34</v>
      </c>
      <c r="Q133" s="43" t="s">
        <v>34</v>
      </c>
      <c r="R133" s="43" t="s">
        <v>34</v>
      </c>
      <c r="S133" s="43" t="s">
        <v>9</v>
      </c>
      <c r="T133" s="6" t="s">
        <v>9</v>
      </c>
      <c r="U133" s="30">
        <f t="shared" si="7"/>
        <v>2</v>
      </c>
      <c r="V133" s="43" t="s">
        <v>9</v>
      </c>
      <c r="W133" s="43" t="s">
        <v>9</v>
      </c>
      <c r="X133" s="43" t="s">
        <v>9</v>
      </c>
      <c r="Y133" s="43" t="s">
        <v>9</v>
      </c>
      <c r="Z133" s="43" t="s">
        <v>16</v>
      </c>
      <c r="AA133" s="43" t="s">
        <v>16</v>
      </c>
      <c r="AB133" s="43" t="s">
        <v>9</v>
      </c>
      <c r="AC133" s="43"/>
      <c r="AD133" s="30">
        <f t="shared" si="8"/>
        <v>5</v>
      </c>
    </row>
    <row r="134" spans="1:34" x14ac:dyDescent="0.25">
      <c r="A134" s="3" t="s">
        <v>259</v>
      </c>
      <c r="B134" s="21"/>
      <c r="C134" s="6" t="s">
        <v>28</v>
      </c>
      <c r="D134" s="24" t="s">
        <v>11</v>
      </c>
      <c r="E134" s="24" t="s">
        <v>211</v>
      </c>
      <c r="F134" s="43" t="s">
        <v>34</v>
      </c>
      <c r="G134" s="43" t="s">
        <v>34</v>
      </c>
      <c r="H134" s="43" t="s">
        <v>34</v>
      </c>
      <c r="I134" s="43" t="s">
        <v>34</v>
      </c>
      <c r="J134" s="43" t="s">
        <v>34</v>
      </c>
      <c r="K134" s="43" t="s">
        <v>34</v>
      </c>
      <c r="L134" s="43" t="s">
        <v>34</v>
      </c>
      <c r="M134" s="43" t="s">
        <v>34</v>
      </c>
      <c r="N134" s="43" t="s">
        <v>34</v>
      </c>
      <c r="O134" s="30">
        <f t="shared" si="9"/>
        <v>0</v>
      </c>
      <c r="P134" s="43" t="s">
        <v>34</v>
      </c>
      <c r="Q134" s="43" t="s">
        <v>34</v>
      </c>
      <c r="R134" s="43" t="s">
        <v>34</v>
      </c>
      <c r="S134" s="43" t="s">
        <v>9</v>
      </c>
      <c r="T134" s="6" t="s">
        <v>9</v>
      </c>
      <c r="U134" s="30">
        <f t="shared" si="7"/>
        <v>2</v>
      </c>
      <c r="V134" s="43" t="s">
        <v>9</v>
      </c>
      <c r="W134" s="43" t="s">
        <v>9</v>
      </c>
      <c r="X134" s="43" t="s">
        <v>9</v>
      </c>
      <c r="Y134" s="43" t="s">
        <v>9</v>
      </c>
      <c r="Z134" s="43" t="s">
        <v>9</v>
      </c>
      <c r="AA134" s="83" t="s">
        <v>9</v>
      </c>
      <c r="AB134" s="43" t="s">
        <v>23</v>
      </c>
      <c r="AC134" s="43"/>
      <c r="AD134" s="30">
        <f t="shared" si="8"/>
        <v>6</v>
      </c>
      <c r="AE134" s="39"/>
      <c r="AF134" s="14"/>
    </row>
    <row r="135" spans="1:34" s="56" customFormat="1" ht="14.25" thickBot="1" x14ac:dyDescent="0.3">
      <c r="A135" s="56" t="s">
        <v>260</v>
      </c>
      <c r="B135" s="57"/>
      <c r="C135" s="58" t="s">
        <v>28</v>
      </c>
      <c r="D135" s="59" t="s">
        <v>11</v>
      </c>
      <c r="E135" s="59" t="s">
        <v>211</v>
      </c>
      <c r="F135" s="61"/>
      <c r="G135" s="61"/>
      <c r="H135" s="61"/>
      <c r="I135" s="61"/>
      <c r="J135" s="61"/>
      <c r="K135" s="61"/>
      <c r="L135" s="61"/>
      <c r="M135" s="61"/>
      <c r="N135" s="61"/>
      <c r="O135" s="60">
        <f t="shared" si="9"/>
        <v>0</v>
      </c>
      <c r="P135" s="61" t="s">
        <v>34</v>
      </c>
      <c r="Q135" s="61" t="s">
        <v>34</v>
      </c>
      <c r="R135" s="61" t="s">
        <v>34</v>
      </c>
      <c r="S135" s="61" t="s">
        <v>34</v>
      </c>
      <c r="T135" s="61" t="s">
        <v>34</v>
      </c>
      <c r="U135" s="60">
        <f t="shared" si="7"/>
        <v>0</v>
      </c>
      <c r="V135" s="61" t="s">
        <v>9</v>
      </c>
      <c r="W135" s="78" t="s">
        <v>16</v>
      </c>
      <c r="X135" s="61" t="s">
        <v>9</v>
      </c>
      <c r="Y135" s="84" t="s">
        <v>16</v>
      </c>
      <c r="Z135" s="84" t="s">
        <v>16</v>
      </c>
      <c r="AA135" s="85" t="s">
        <v>16</v>
      </c>
      <c r="AB135" s="61" t="s">
        <v>9</v>
      </c>
      <c r="AC135" s="61"/>
      <c r="AD135" s="60">
        <f t="shared" si="8"/>
        <v>3</v>
      </c>
      <c r="AE135" s="57"/>
    </row>
    <row r="136" spans="1:34" s="3" customFormat="1" x14ac:dyDescent="0.25">
      <c r="A136" s="47" t="s">
        <v>30</v>
      </c>
      <c r="B136" s="38"/>
      <c r="C136" s="16" t="s">
        <v>210</v>
      </c>
      <c r="D136" s="46" t="s">
        <v>20</v>
      </c>
      <c r="E136" s="46" t="s">
        <v>211</v>
      </c>
      <c r="F136" s="16" t="s">
        <v>9</v>
      </c>
      <c r="G136" s="16" t="s">
        <v>16</v>
      </c>
      <c r="H136" s="16" t="s">
        <v>16</v>
      </c>
      <c r="I136" s="16" t="s">
        <v>16</v>
      </c>
      <c r="J136" s="16" t="s">
        <v>16</v>
      </c>
      <c r="K136" s="16" t="s">
        <v>16</v>
      </c>
      <c r="L136" s="16" t="s">
        <v>16</v>
      </c>
      <c r="M136" s="16" t="s">
        <v>16</v>
      </c>
      <c r="N136" s="16" t="s">
        <v>16</v>
      </c>
      <c r="O136" s="30">
        <f t="shared" si="9"/>
        <v>1</v>
      </c>
      <c r="P136" s="16" t="s">
        <v>9</v>
      </c>
      <c r="Q136" s="16" t="s">
        <v>16</v>
      </c>
      <c r="R136" s="16" t="s">
        <v>23</v>
      </c>
      <c r="S136" s="46" t="s">
        <v>16</v>
      </c>
      <c r="T136" s="16" t="s">
        <v>16</v>
      </c>
      <c r="U136" s="30">
        <f t="shared" si="7"/>
        <v>1</v>
      </c>
      <c r="V136" s="16" t="s">
        <v>16</v>
      </c>
      <c r="W136" s="16" t="s">
        <v>16</v>
      </c>
      <c r="X136" s="16"/>
      <c r="Y136" s="16"/>
      <c r="Z136" s="16"/>
      <c r="AA136" s="16"/>
      <c r="AB136" s="88"/>
      <c r="AC136" s="16"/>
      <c r="AD136" s="30">
        <f t="shared" si="8"/>
        <v>0</v>
      </c>
      <c r="AE136" s="38" t="s">
        <v>21</v>
      </c>
      <c r="AF136" s="63" t="s">
        <v>173</v>
      </c>
      <c r="AG136" s="47"/>
      <c r="AH136" s="47"/>
    </row>
    <row r="137" spans="1:34" s="3" customFormat="1" x14ac:dyDescent="0.25">
      <c r="A137" s="47" t="s">
        <v>33</v>
      </c>
      <c r="B137" s="38">
        <v>85985984799</v>
      </c>
      <c r="C137" s="16" t="s">
        <v>210</v>
      </c>
      <c r="D137" s="46" t="s">
        <v>20</v>
      </c>
      <c r="E137" s="46" t="s">
        <v>211</v>
      </c>
      <c r="F137" s="16" t="s">
        <v>16</v>
      </c>
      <c r="G137" s="16" t="s">
        <v>16</v>
      </c>
      <c r="H137" s="16" t="s">
        <v>16</v>
      </c>
      <c r="I137" s="16" t="s">
        <v>16</v>
      </c>
      <c r="J137" s="16" t="s">
        <v>16</v>
      </c>
      <c r="K137" s="16" t="s">
        <v>16</v>
      </c>
      <c r="L137" s="16" t="s">
        <v>16</v>
      </c>
      <c r="M137" s="16" t="s">
        <v>16</v>
      </c>
      <c r="N137" s="16" t="s">
        <v>16</v>
      </c>
      <c r="O137" s="30">
        <f t="shared" si="9"/>
        <v>0</v>
      </c>
      <c r="P137" s="16" t="s">
        <v>9</v>
      </c>
      <c r="Q137" s="16" t="s">
        <v>9</v>
      </c>
      <c r="R137" s="16" t="s">
        <v>16</v>
      </c>
      <c r="S137" s="46" t="s">
        <v>16</v>
      </c>
      <c r="T137" s="16" t="s">
        <v>16</v>
      </c>
      <c r="U137" s="30">
        <f t="shared" si="7"/>
        <v>2</v>
      </c>
      <c r="V137" s="16" t="s">
        <v>16</v>
      </c>
      <c r="W137" s="16" t="s">
        <v>16</v>
      </c>
      <c r="X137" s="16"/>
      <c r="Y137" s="16"/>
      <c r="Z137" s="16"/>
      <c r="AA137" s="16"/>
      <c r="AB137" s="16"/>
      <c r="AC137" s="16"/>
      <c r="AD137" s="30">
        <f t="shared" si="8"/>
        <v>0</v>
      </c>
      <c r="AE137" s="38"/>
      <c r="AF137" s="63" t="s">
        <v>177</v>
      </c>
      <c r="AG137" s="47"/>
      <c r="AH137" s="47"/>
    </row>
    <row r="138" spans="1:34" x14ac:dyDescent="0.25">
      <c r="A138" s="44" t="s">
        <v>261</v>
      </c>
      <c r="B138" s="38">
        <v>85992850136</v>
      </c>
      <c r="C138" s="16" t="s">
        <v>210</v>
      </c>
      <c r="D138" s="46" t="s">
        <v>20</v>
      </c>
      <c r="E138" s="46" t="s">
        <v>211</v>
      </c>
      <c r="F138" s="16" t="s">
        <v>34</v>
      </c>
      <c r="G138" s="16" t="s">
        <v>34</v>
      </c>
      <c r="H138" s="16" t="s">
        <v>34</v>
      </c>
      <c r="I138" s="16" t="s">
        <v>34</v>
      </c>
      <c r="J138" s="16" t="s">
        <v>34</v>
      </c>
      <c r="K138" s="16" t="s">
        <v>34</v>
      </c>
      <c r="L138" s="16" t="s">
        <v>34</v>
      </c>
      <c r="M138" s="16" t="s">
        <v>34</v>
      </c>
      <c r="N138" s="16" t="s">
        <v>34</v>
      </c>
      <c r="O138" s="30">
        <f t="shared" si="9"/>
        <v>0</v>
      </c>
      <c r="P138" s="16" t="s">
        <v>34</v>
      </c>
      <c r="Q138" s="16" t="s">
        <v>34</v>
      </c>
      <c r="R138" s="16" t="s">
        <v>16</v>
      </c>
      <c r="S138" s="45" t="s">
        <v>16</v>
      </c>
      <c r="T138" s="16" t="s">
        <v>16</v>
      </c>
      <c r="U138" s="30">
        <f t="shared" si="7"/>
        <v>0</v>
      </c>
      <c r="V138" s="16" t="s">
        <v>34</v>
      </c>
      <c r="W138" s="16" t="s">
        <v>34</v>
      </c>
      <c r="X138" s="16" t="s">
        <v>34</v>
      </c>
      <c r="Y138" s="16" t="s">
        <v>34</v>
      </c>
      <c r="Z138" s="16" t="s">
        <v>34</v>
      </c>
      <c r="AA138" s="16" t="s">
        <v>34</v>
      </c>
      <c r="AB138" s="16" t="s">
        <v>34</v>
      </c>
      <c r="AC138" s="16" t="s">
        <v>34</v>
      </c>
      <c r="AD138" s="30">
        <f t="shared" si="8"/>
        <v>0</v>
      </c>
      <c r="AE138" s="38" t="s">
        <v>17</v>
      </c>
      <c r="AF138" s="13" t="s">
        <v>172</v>
      </c>
      <c r="AG138" s="44" t="s">
        <v>18</v>
      </c>
      <c r="AH138" s="44"/>
    </row>
    <row r="139" spans="1:34" s="3" customFormat="1" x14ac:dyDescent="0.25">
      <c r="A139" s="47" t="s">
        <v>36</v>
      </c>
      <c r="B139" s="38">
        <v>85992370444</v>
      </c>
      <c r="C139" s="16" t="s">
        <v>210</v>
      </c>
      <c r="D139" s="46" t="s">
        <v>20</v>
      </c>
      <c r="E139" s="46" t="s">
        <v>211</v>
      </c>
      <c r="F139" s="16" t="s">
        <v>9</v>
      </c>
      <c r="G139" s="16" t="s">
        <v>16</v>
      </c>
      <c r="H139" s="16" t="s">
        <v>16</v>
      </c>
      <c r="I139" s="16" t="s">
        <v>16</v>
      </c>
      <c r="J139" s="16" t="s">
        <v>16</v>
      </c>
      <c r="K139" s="16" t="s">
        <v>16</v>
      </c>
      <c r="L139" s="16" t="s">
        <v>16</v>
      </c>
      <c r="M139" s="16" t="s">
        <v>16</v>
      </c>
      <c r="N139" s="16" t="s">
        <v>16</v>
      </c>
      <c r="O139" s="30">
        <f t="shared" si="9"/>
        <v>1</v>
      </c>
      <c r="P139" s="16" t="s">
        <v>9</v>
      </c>
      <c r="Q139" s="16" t="s">
        <v>16</v>
      </c>
      <c r="R139" s="16" t="s">
        <v>16</v>
      </c>
      <c r="S139" s="46" t="s">
        <v>16</v>
      </c>
      <c r="T139" s="16" t="s">
        <v>16</v>
      </c>
      <c r="U139" s="30">
        <f t="shared" si="7"/>
        <v>1</v>
      </c>
      <c r="V139" s="46" t="s">
        <v>16</v>
      </c>
      <c r="W139" s="46" t="s">
        <v>16</v>
      </c>
      <c r="X139" s="16"/>
      <c r="Y139" s="16"/>
      <c r="Z139" s="16"/>
      <c r="AA139" s="16"/>
      <c r="AB139" s="16"/>
      <c r="AC139" s="16"/>
      <c r="AD139" s="30">
        <f t="shared" si="8"/>
        <v>0</v>
      </c>
      <c r="AE139" s="38" t="s">
        <v>21</v>
      </c>
      <c r="AF139" s="63" t="s">
        <v>178</v>
      </c>
      <c r="AG139" s="47"/>
      <c r="AH139" s="47"/>
    </row>
    <row r="140" spans="1:34" x14ac:dyDescent="0.25">
      <c r="A140" s="44" t="s">
        <v>37</v>
      </c>
      <c r="B140" s="38">
        <v>85985424242</v>
      </c>
      <c r="C140" s="16" t="s">
        <v>210</v>
      </c>
      <c r="D140" s="46" t="s">
        <v>20</v>
      </c>
      <c r="E140" s="46" t="s">
        <v>211</v>
      </c>
      <c r="F140" s="16" t="s">
        <v>34</v>
      </c>
      <c r="G140" s="16" t="s">
        <v>34</v>
      </c>
      <c r="H140" s="16" t="s">
        <v>34</v>
      </c>
      <c r="I140" s="16" t="s">
        <v>34</v>
      </c>
      <c r="J140" s="16" t="s">
        <v>34</v>
      </c>
      <c r="K140" s="16" t="s">
        <v>34</v>
      </c>
      <c r="L140" s="16" t="s">
        <v>34</v>
      </c>
      <c r="M140" s="16" t="s">
        <v>34</v>
      </c>
      <c r="N140" s="16" t="s">
        <v>34</v>
      </c>
      <c r="O140" s="30">
        <f t="shared" si="9"/>
        <v>0</v>
      </c>
      <c r="P140" s="16" t="s">
        <v>34</v>
      </c>
      <c r="Q140" s="16" t="s">
        <v>34</v>
      </c>
      <c r="R140" s="16" t="s">
        <v>23</v>
      </c>
      <c r="S140" s="45" t="s">
        <v>16</v>
      </c>
      <c r="T140" s="16" t="s">
        <v>16</v>
      </c>
      <c r="U140" s="30">
        <f t="shared" si="7"/>
        <v>0</v>
      </c>
      <c r="V140" s="16" t="s">
        <v>16</v>
      </c>
      <c r="W140" s="16" t="s">
        <v>16</v>
      </c>
      <c r="X140" s="16" t="s">
        <v>34</v>
      </c>
      <c r="Y140" s="16" t="s">
        <v>34</v>
      </c>
      <c r="Z140" s="16" t="s">
        <v>34</v>
      </c>
      <c r="AA140" s="16" t="s">
        <v>34</v>
      </c>
      <c r="AB140" s="16" t="s">
        <v>34</v>
      </c>
      <c r="AC140" s="16" t="s">
        <v>34</v>
      </c>
      <c r="AD140" s="30">
        <f t="shared" si="8"/>
        <v>0</v>
      </c>
      <c r="AE140" s="38" t="s">
        <v>17</v>
      </c>
      <c r="AF140" s="13" t="s">
        <v>173</v>
      </c>
      <c r="AG140" s="44" t="s">
        <v>38</v>
      </c>
      <c r="AH140" s="44"/>
    </row>
    <row r="141" spans="1:34" x14ac:dyDescent="0.25">
      <c r="A141" s="68" t="s">
        <v>43</v>
      </c>
      <c r="B141" s="38">
        <v>85992469294</v>
      </c>
      <c r="C141" s="16" t="s">
        <v>210</v>
      </c>
      <c r="D141" s="46" t="s">
        <v>20</v>
      </c>
      <c r="E141" s="46" t="s">
        <v>211</v>
      </c>
      <c r="F141" s="16" t="s">
        <v>9</v>
      </c>
      <c r="G141" s="16" t="s">
        <v>16</v>
      </c>
      <c r="H141" s="16" t="s">
        <v>16</v>
      </c>
      <c r="I141" s="16" t="s">
        <v>16</v>
      </c>
      <c r="J141" s="16" t="s">
        <v>16</v>
      </c>
      <c r="K141" s="16" t="s">
        <v>16</v>
      </c>
      <c r="L141" s="16" t="s">
        <v>16</v>
      </c>
      <c r="M141" s="16" t="s">
        <v>16</v>
      </c>
      <c r="N141" s="16" t="s">
        <v>16</v>
      </c>
      <c r="O141" s="30">
        <f t="shared" si="9"/>
        <v>1</v>
      </c>
      <c r="P141" s="16" t="s">
        <v>16</v>
      </c>
      <c r="Q141" s="16" t="s">
        <v>16</v>
      </c>
      <c r="R141" s="16" t="s">
        <v>16</v>
      </c>
      <c r="S141" s="45" t="s">
        <v>16</v>
      </c>
      <c r="T141" s="16" t="s">
        <v>34</v>
      </c>
      <c r="U141" s="30">
        <f t="shared" si="7"/>
        <v>0</v>
      </c>
      <c r="V141" s="16" t="s">
        <v>34</v>
      </c>
      <c r="W141" s="16" t="s">
        <v>34</v>
      </c>
      <c r="X141" s="16" t="s">
        <v>34</v>
      </c>
      <c r="Y141" s="16" t="s">
        <v>34</v>
      </c>
      <c r="Z141" s="16" t="s">
        <v>34</v>
      </c>
      <c r="AA141" s="16" t="s">
        <v>34</v>
      </c>
      <c r="AB141" s="16" t="s">
        <v>34</v>
      </c>
      <c r="AC141" s="16" t="s">
        <v>34</v>
      </c>
      <c r="AD141" s="30">
        <f t="shared" si="8"/>
        <v>0</v>
      </c>
      <c r="AE141" s="38" t="s">
        <v>17</v>
      </c>
      <c r="AF141" s="13" t="s">
        <v>179</v>
      </c>
      <c r="AG141" s="44" t="s">
        <v>44</v>
      </c>
      <c r="AH141" s="44"/>
    </row>
    <row r="142" spans="1:34" x14ac:dyDescent="0.25">
      <c r="A142" s="44" t="s">
        <v>45</v>
      </c>
      <c r="B142" s="38">
        <v>85985200812</v>
      </c>
      <c r="C142" s="16" t="s">
        <v>210</v>
      </c>
      <c r="D142" s="46" t="s">
        <v>20</v>
      </c>
      <c r="E142" s="46" t="s">
        <v>211</v>
      </c>
      <c r="F142" s="16" t="s">
        <v>9</v>
      </c>
      <c r="G142" s="16" t="s">
        <v>16</v>
      </c>
      <c r="H142" s="16" t="s">
        <v>16</v>
      </c>
      <c r="I142" s="16" t="s">
        <v>16</v>
      </c>
      <c r="J142" s="16" t="s">
        <v>16</v>
      </c>
      <c r="K142" s="16" t="s">
        <v>16</v>
      </c>
      <c r="L142" s="16" t="s">
        <v>16</v>
      </c>
      <c r="M142" s="16" t="s">
        <v>16</v>
      </c>
      <c r="N142" s="16" t="s">
        <v>16</v>
      </c>
      <c r="O142" s="30">
        <f t="shared" si="9"/>
        <v>1</v>
      </c>
      <c r="P142" s="16" t="s">
        <v>16</v>
      </c>
      <c r="Q142" s="16" t="s">
        <v>16</v>
      </c>
      <c r="R142" s="16" t="s">
        <v>16</v>
      </c>
      <c r="S142" s="45" t="s">
        <v>16</v>
      </c>
      <c r="T142" s="16" t="s">
        <v>34</v>
      </c>
      <c r="U142" s="30">
        <f t="shared" si="7"/>
        <v>0</v>
      </c>
      <c r="V142" s="16" t="s">
        <v>34</v>
      </c>
      <c r="W142" s="16" t="s">
        <v>34</v>
      </c>
      <c r="X142" s="16" t="s">
        <v>34</v>
      </c>
      <c r="Y142" s="16" t="s">
        <v>34</v>
      </c>
      <c r="Z142" s="16" t="s">
        <v>34</v>
      </c>
      <c r="AA142" s="16" t="s">
        <v>34</v>
      </c>
      <c r="AB142" s="16" t="s">
        <v>34</v>
      </c>
      <c r="AC142" s="16" t="s">
        <v>34</v>
      </c>
      <c r="AD142" s="30">
        <f t="shared" si="8"/>
        <v>0</v>
      </c>
      <c r="AE142" s="38" t="s">
        <v>17</v>
      </c>
      <c r="AF142" s="13" t="s">
        <v>173</v>
      </c>
      <c r="AG142" s="44" t="s">
        <v>46</v>
      </c>
      <c r="AH142" s="44"/>
    </row>
    <row r="143" spans="1:34" x14ac:dyDescent="0.25">
      <c r="A143" s="44" t="s">
        <v>50</v>
      </c>
      <c r="B143" s="38"/>
      <c r="C143" s="16" t="s">
        <v>210</v>
      </c>
      <c r="D143" s="46" t="s">
        <v>20</v>
      </c>
      <c r="E143" s="46" t="s">
        <v>211</v>
      </c>
      <c r="F143" s="16" t="s">
        <v>34</v>
      </c>
      <c r="G143" s="16" t="s">
        <v>34</v>
      </c>
      <c r="H143" s="16" t="s">
        <v>34</v>
      </c>
      <c r="I143" s="16" t="s">
        <v>34</v>
      </c>
      <c r="J143" s="16" t="s">
        <v>34</v>
      </c>
      <c r="K143" s="16" t="s">
        <v>34</v>
      </c>
      <c r="L143" s="16" t="s">
        <v>34</v>
      </c>
      <c r="M143" s="16" t="s">
        <v>34</v>
      </c>
      <c r="N143" s="16" t="s">
        <v>34</v>
      </c>
      <c r="O143" s="30">
        <f t="shared" si="9"/>
        <v>0</v>
      </c>
      <c r="P143" s="16" t="s">
        <v>34</v>
      </c>
      <c r="Q143" s="16" t="s">
        <v>16</v>
      </c>
      <c r="R143" s="16" t="s">
        <v>16</v>
      </c>
      <c r="S143" s="45" t="s">
        <v>16</v>
      </c>
      <c r="T143" s="16" t="s">
        <v>34</v>
      </c>
      <c r="U143" s="30">
        <f t="shared" si="7"/>
        <v>0</v>
      </c>
      <c r="V143" s="16" t="s">
        <v>34</v>
      </c>
      <c r="W143" s="16" t="s">
        <v>34</v>
      </c>
      <c r="X143" s="16" t="s">
        <v>34</v>
      </c>
      <c r="Y143" s="16" t="s">
        <v>34</v>
      </c>
      <c r="Z143" s="16" t="s">
        <v>34</v>
      </c>
      <c r="AA143" s="16" t="s">
        <v>34</v>
      </c>
      <c r="AB143" s="16" t="s">
        <v>34</v>
      </c>
      <c r="AC143" s="16" t="s">
        <v>34</v>
      </c>
      <c r="AD143" s="30">
        <f t="shared" si="8"/>
        <v>0</v>
      </c>
      <c r="AE143" s="38" t="s">
        <v>17</v>
      </c>
      <c r="AF143" s="44"/>
      <c r="AG143" s="44" t="s">
        <v>32</v>
      </c>
      <c r="AH143" s="44"/>
    </row>
    <row r="144" spans="1:34" x14ac:dyDescent="0.25">
      <c r="A144" s="44" t="s">
        <v>64</v>
      </c>
      <c r="B144" s="38">
        <v>85992351765</v>
      </c>
      <c r="C144" s="16" t="s">
        <v>210</v>
      </c>
      <c r="D144" s="46" t="s">
        <v>20</v>
      </c>
      <c r="E144" s="46" t="s">
        <v>211</v>
      </c>
      <c r="F144" s="16" t="s">
        <v>34</v>
      </c>
      <c r="G144" s="16" t="s">
        <v>34</v>
      </c>
      <c r="H144" s="16" t="s">
        <v>34</v>
      </c>
      <c r="I144" s="16" t="s">
        <v>34</v>
      </c>
      <c r="J144" s="16" t="s">
        <v>34</v>
      </c>
      <c r="K144" s="16" t="s">
        <v>34</v>
      </c>
      <c r="L144" s="16" t="s">
        <v>34</v>
      </c>
      <c r="M144" s="16" t="s">
        <v>34</v>
      </c>
      <c r="N144" s="16" t="s">
        <v>34</v>
      </c>
      <c r="O144" s="30">
        <f t="shared" si="9"/>
        <v>0</v>
      </c>
      <c r="P144" s="16" t="s">
        <v>34</v>
      </c>
      <c r="Q144" s="16" t="s">
        <v>34</v>
      </c>
      <c r="R144" s="16" t="s">
        <v>16</v>
      </c>
      <c r="S144" s="45" t="s">
        <v>16</v>
      </c>
      <c r="T144" s="16" t="s">
        <v>16</v>
      </c>
      <c r="U144" s="30">
        <f t="shared" si="7"/>
        <v>0</v>
      </c>
      <c r="V144" s="16" t="s">
        <v>34</v>
      </c>
      <c r="W144" s="16" t="s">
        <v>34</v>
      </c>
      <c r="X144" s="16" t="s">
        <v>34</v>
      </c>
      <c r="Y144" s="16" t="s">
        <v>34</v>
      </c>
      <c r="Z144" s="16" t="s">
        <v>34</v>
      </c>
      <c r="AA144" s="16" t="s">
        <v>34</v>
      </c>
      <c r="AB144" s="16" t="s">
        <v>34</v>
      </c>
      <c r="AC144" s="16" t="s">
        <v>34</v>
      </c>
      <c r="AD144" s="30">
        <f t="shared" si="8"/>
        <v>0</v>
      </c>
      <c r="AE144" s="38" t="s">
        <v>17</v>
      </c>
      <c r="AF144" s="13"/>
      <c r="AG144" s="44" t="s">
        <v>18</v>
      </c>
      <c r="AH144" s="44"/>
    </row>
    <row r="145" spans="1:34" x14ac:dyDescent="0.25">
      <c r="A145" s="44" t="s">
        <v>65</v>
      </c>
      <c r="B145" s="38"/>
      <c r="C145" s="16" t="s">
        <v>210</v>
      </c>
      <c r="D145" s="46" t="s">
        <v>20</v>
      </c>
      <c r="E145" s="46" t="s">
        <v>211</v>
      </c>
      <c r="F145" s="16" t="s">
        <v>34</v>
      </c>
      <c r="G145" s="16" t="s">
        <v>34</v>
      </c>
      <c r="H145" s="16" t="s">
        <v>34</v>
      </c>
      <c r="I145" s="16" t="s">
        <v>34</v>
      </c>
      <c r="J145" s="16" t="s">
        <v>34</v>
      </c>
      <c r="K145" s="16" t="s">
        <v>34</v>
      </c>
      <c r="L145" s="16" t="s">
        <v>34</v>
      </c>
      <c r="M145" s="16" t="s">
        <v>34</v>
      </c>
      <c r="N145" s="16" t="s">
        <v>34</v>
      </c>
      <c r="O145" s="30">
        <f t="shared" si="9"/>
        <v>0</v>
      </c>
      <c r="P145" s="16" t="s">
        <v>34</v>
      </c>
      <c r="Q145" s="16" t="s">
        <v>16</v>
      </c>
      <c r="R145" s="16" t="s">
        <v>16</v>
      </c>
      <c r="S145" s="45" t="s">
        <v>16</v>
      </c>
      <c r="T145" s="16" t="s">
        <v>34</v>
      </c>
      <c r="U145" s="30">
        <f t="shared" si="7"/>
        <v>0</v>
      </c>
      <c r="V145" s="16" t="s">
        <v>16</v>
      </c>
      <c r="W145" s="16" t="s">
        <v>34</v>
      </c>
      <c r="X145" s="16" t="s">
        <v>34</v>
      </c>
      <c r="Y145" s="16" t="s">
        <v>34</v>
      </c>
      <c r="Z145" s="16" t="s">
        <v>34</v>
      </c>
      <c r="AA145" s="16" t="s">
        <v>34</v>
      </c>
      <c r="AB145" s="16" t="s">
        <v>34</v>
      </c>
      <c r="AC145" s="16" t="s">
        <v>34</v>
      </c>
      <c r="AD145" s="30">
        <f t="shared" si="8"/>
        <v>0</v>
      </c>
      <c r="AE145" s="38" t="s">
        <v>17</v>
      </c>
      <c r="AF145" s="44"/>
      <c r="AG145" s="44" t="s">
        <v>32</v>
      </c>
      <c r="AH145" s="44"/>
    </row>
    <row r="146" spans="1:34" x14ac:dyDescent="0.25">
      <c r="A146" s="44" t="s">
        <v>80</v>
      </c>
      <c r="B146" s="38">
        <v>85988546147</v>
      </c>
      <c r="C146" s="16" t="s">
        <v>210</v>
      </c>
      <c r="D146" s="46" t="s">
        <v>20</v>
      </c>
      <c r="E146" s="46" t="s">
        <v>211</v>
      </c>
      <c r="F146" s="16" t="s">
        <v>9</v>
      </c>
      <c r="G146" s="16" t="s">
        <v>16</v>
      </c>
      <c r="H146" s="16" t="s">
        <v>16</v>
      </c>
      <c r="I146" s="16" t="s">
        <v>16</v>
      </c>
      <c r="J146" s="16" t="s">
        <v>16</v>
      </c>
      <c r="K146" s="16" t="s">
        <v>16</v>
      </c>
      <c r="L146" s="16" t="s">
        <v>16</v>
      </c>
      <c r="M146" s="16" t="s">
        <v>16</v>
      </c>
      <c r="N146" s="16" t="s">
        <v>16</v>
      </c>
      <c r="O146" s="30">
        <f t="shared" si="9"/>
        <v>1</v>
      </c>
      <c r="P146" s="16" t="s">
        <v>16</v>
      </c>
      <c r="Q146" s="16" t="s">
        <v>16</v>
      </c>
      <c r="R146" s="16" t="s">
        <v>16</v>
      </c>
      <c r="S146" s="45" t="s">
        <v>16</v>
      </c>
      <c r="T146" s="16" t="s">
        <v>34</v>
      </c>
      <c r="U146" s="30">
        <f t="shared" si="7"/>
        <v>0</v>
      </c>
      <c r="V146" s="16" t="s">
        <v>34</v>
      </c>
      <c r="W146" s="16" t="s">
        <v>34</v>
      </c>
      <c r="X146" s="16" t="s">
        <v>34</v>
      </c>
      <c r="Y146" s="16" t="s">
        <v>34</v>
      </c>
      <c r="Z146" s="16" t="s">
        <v>34</v>
      </c>
      <c r="AA146" s="16" t="s">
        <v>34</v>
      </c>
      <c r="AB146" s="16" t="s">
        <v>34</v>
      </c>
      <c r="AC146" s="16" t="s">
        <v>34</v>
      </c>
      <c r="AD146" s="30">
        <f t="shared" si="8"/>
        <v>0</v>
      </c>
      <c r="AE146" s="38" t="s">
        <v>17</v>
      </c>
      <c r="AF146" s="13" t="s">
        <v>183</v>
      </c>
      <c r="AG146" s="44" t="s">
        <v>81</v>
      </c>
      <c r="AH146" s="44"/>
    </row>
    <row r="147" spans="1:34" x14ac:dyDescent="0.25">
      <c r="A147" s="44" t="s">
        <v>83</v>
      </c>
      <c r="B147" s="38">
        <v>85994019391</v>
      </c>
      <c r="C147" s="16" t="s">
        <v>210</v>
      </c>
      <c r="D147" s="46" t="s">
        <v>20</v>
      </c>
      <c r="E147" s="46" t="s">
        <v>211</v>
      </c>
      <c r="F147" s="16" t="s">
        <v>9</v>
      </c>
      <c r="G147" s="16" t="s">
        <v>9</v>
      </c>
      <c r="H147" s="16" t="s">
        <v>9</v>
      </c>
      <c r="I147" s="16" t="s">
        <v>9</v>
      </c>
      <c r="J147" s="16" t="s">
        <v>9</v>
      </c>
      <c r="K147" s="16" t="s">
        <v>9</v>
      </c>
      <c r="L147" s="16" t="s">
        <v>16</v>
      </c>
      <c r="M147" s="16" t="s">
        <v>16</v>
      </c>
      <c r="N147" s="16" t="s">
        <v>9</v>
      </c>
      <c r="O147" s="30">
        <f t="shared" si="9"/>
        <v>7</v>
      </c>
      <c r="P147" s="16" t="s">
        <v>16</v>
      </c>
      <c r="Q147" s="16" t="s">
        <v>16</v>
      </c>
      <c r="R147" s="16" t="s">
        <v>9</v>
      </c>
      <c r="S147" s="45" t="s">
        <v>9</v>
      </c>
      <c r="T147" s="16" t="s">
        <v>9</v>
      </c>
      <c r="U147" s="30">
        <f t="shared" si="7"/>
        <v>3</v>
      </c>
      <c r="V147" s="16" t="s">
        <v>9</v>
      </c>
      <c r="W147" s="16" t="s">
        <v>9</v>
      </c>
      <c r="X147" s="16"/>
      <c r="Y147" s="16"/>
      <c r="Z147" s="16"/>
      <c r="AA147" s="16"/>
      <c r="AB147" s="16"/>
      <c r="AC147" s="16"/>
      <c r="AD147" s="30">
        <f t="shared" si="8"/>
        <v>2</v>
      </c>
      <c r="AE147" s="38" t="s">
        <v>17</v>
      </c>
      <c r="AF147" s="14" t="s">
        <v>171</v>
      </c>
      <c r="AG147" s="44" t="s">
        <v>18</v>
      </c>
      <c r="AH147" s="44"/>
    </row>
    <row r="148" spans="1:34" x14ac:dyDescent="0.25">
      <c r="A148" s="44" t="s">
        <v>84</v>
      </c>
      <c r="B148" s="38">
        <v>85985526867</v>
      </c>
      <c r="C148" s="16" t="s">
        <v>210</v>
      </c>
      <c r="D148" s="46" t="s">
        <v>20</v>
      </c>
      <c r="E148" s="46" t="s">
        <v>211</v>
      </c>
      <c r="F148" s="16" t="s">
        <v>34</v>
      </c>
      <c r="G148" s="16" t="s">
        <v>34</v>
      </c>
      <c r="H148" s="16" t="s">
        <v>34</v>
      </c>
      <c r="I148" s="16" t="s">
        <v>34</v>
      </c>
      <c r="J148" s="16" t="s">
        <v>34</v>
      </c>
      <c r="K148" s="16" t="s">
        <v>34</v>
      </c>
      <c r="L148" s="16" t="s">
        <v>34</v>
      </c>
      <c r="M148" s="16" t="s">
        <v>34</v>
      </c>
      <c r="N148" s="16" t="s">
        <v>34</v>
      </c>
      <c r="O148" s="30">
        <f t="shared" si="9"/>
        <v>0</v>
      </c>
      <c r="P148" s="16" t="s">
        <v>34</v>
      </c>
      <c r="Q148" s="16" t="s">
        <v>34</v>
      </c>
      <c r="R148" s="16" t="s">
        <v>16</v>
      </c>
      <c r="S148" s="45" t="s">
        <v>16</v>
      </c>
      <c r="T148" s="16" t="s">
        <v>16</v>
      </c>
      <c r="U148" s="30">
        <f t="shared" si="7"/>
        <v>0</v>
      </c>
      <c r="V148" s="16" t="s">
        <v>34</v>
      </c>
      <c r="W148" s="16" t="s">
        <v>34</v>
      </c>
      <c r="X148" s="16" t="s">
        <v>34</v>
      </c>
      <c r="Y148" s="16" t="s">
        <v>34</v>
      </c>
      <c r="Z148" s="16" t="s">
        <v>34</v>
      </c>
      <c r="AA148" s="16" t="s">
        <v>34</v>
      </c>
      <c r="AB148" s="16" t="s">
        <v>34</v>
      </c>
      <c r="AC148" s="16" t="s">
        <v>34</v>
      </c>
      <c r="AD148" s="30">
        <f t="shared" si="8"/>
        <v>0</v>
      </c>
      <c r="AE148" s="38" t="s">
        <v>17</v>
      </c>
      <c r="AF148" s="13" t="s">
        <v>173</v>
      </c>
      <c r="AG148" s="44" t="s">
        <v>85</v>
      </c>
      <c r="AH148" s="44"/>
    </row>
    <row r="149" spans="1:34" x14ac:dyDescent="0.25">
      <c r="A149" s="44" t="s">
        <v>87</v>
      </c>
      <c r="B149" s="38">
        <v>85991579502</v>
      </c>
      <c r="C149" s="16" t="s">
        <v>210</v>
      </c>
      <c r="D149" s="46" t="s">
        <v>20</v>
      </c>
      <c r="E149" s="46" t="s">
        <v>211</v>
      </c>
      <c r="F149" s="16" t="s">
        <v>34</v>
      </c>
      <c r="G149" s="16" t="s">
        <v>34</v>
      </c>
      <c r="H149" s="16" t="s">
        <v>34</v>
      </c>
      <c r="I149" s="16" t="s">
        <v>34</v>
      </c>
      <c r="J149" s="16" t="s">
        <v>34</v>
      </c>
      <c r="K149" s="16" t="s">
        <v>34</v>
      </c>
      <c r="L149" s="16" t="s">
        <v>34</v>
      </c>
      <c r="M149" s="16" t="s">
        <v>34</v>
      </c>
      <c r="N149" s="16" t="s">
        <v>34</v>
      </c>
      <c r="O149" s="30">
        <f t="shared" si="9"/>
        <v>0</v>
      </c>
      <c r="P149" s="16" t="s">
        <v>16</v>
      </c>
      <c r="Q149" s="16" t="s">
        <v>16</v>
      </c>
      <c r="R149" s="16" t="s">
        <v>16</v>
      </c>
      <c r="S149" s="45" t="s">
        <v>16</v>
      </c>
      <c r="T149" s="48" t="s">
        <v>16</v>
      </c>
      <c r="U149" s="30">
        <f t="shared" si="7"/>
        <v>0</v>
      </c>
      <c r="V149" s="16" t="s">
        <v>34</v>
      </c>
      <c r="W149" s="16" t="s">
        <v>34</v>
      </c>
      <c r="X149" s="16" t="s">
        <v>34</v>
      </c>
      <c r="Y149" s="16" t="s">
        <v>34</v>
      </c>
      <c r="Z149" s="16" t="s">
        <v>34</v>
      </c>
      <c r="AA149" s="16" t="s">
        <v>34</v>
      </c>
      <c r="AB149" s="16" t="s">
        <v>34</v>
      </c>
      <c r="AC149" s="16" t="s">
        <v>34</v>
      </c>
      <c r="AD149" s="30">
        <f t="shared" si="8"/>
        <v>0</v>
      </c>
      <c r="AE149" s="38" t="s">
        <v>17</v>
      </c>
      <c r="AF149" s="44"/>
      <c r="AG149" s="44" t="s">
        <v>88</v>
      </c>
      <c r="AH149" s="44"/>
    </row>
    <row r="150" spans="1:34" s="3" customFormat="1" x14ac:dyDescent="0.25">
      <c r="A150" s="47" t="s">
        <v>117</v>
      </c>
      <c r="B150" s="38">
        <v>85987913466</v>
      </c>
      <c r="C150" s="16" t="s">
        <v>210</v>
      </c>
      <c r="D150" s="46" t="s">
        <v>20</v>
      </c>
      <c r="E150" s="46" t="s">
        <v>211</v>
      </c>
      <c r="F150" s="16" t="s">
        <v>9</v>
      </c>
      <c r="G150" s="16" t="s">
        <v>16</v>
      </c>
      <c r="H150" s="16" t="s">
        <v>16</v>
      </c>
      <c r="I150" s="16" t="s">
        <v>16</v>
      </c>
      <c r="J150" s="16" t="s">
        <v>16</v>
      </c>
      <c r="K150" s="16" t="s">
        <v>16</v>
      </c>
      <c r="L150" s="16" t="s">
        <v>16</v>
      </c>
      <c r="M150" s="16" t="s">
        <v>16</v>
      </c>
      <c r="N150" s="16" t="s">
        <v>16</v>
      </c>
      <c r="O150" s="30">
        <f t="shared" si="9"/>
        <v>1</v>
      </c>
      <c r="P150" s="16" t="s">
        <v>9</v>
      </c>
      <c r="Q150" s="16" t="s">
        <v>16</v>
      </c>
      <c r="R150" s="16" t="s">
        <v>16</v>
      </c>
      <c r="S150" s="46" t="s">
        <v>16</v>
      </c>
      <c r="T150" s="16" t="s">
        <v>16</v>
      </c>
      <c r="U150" s="30">
        <f t="shared" si="7"/>
        <v>1</v>
      </c>
      <c r="V150" s="16" t="s">
        <v>16</v>
      </c>
      <c r="W150" s="16" t="s">
        <v>16</v>
      </c>
      <c r="X150" s="16"/>
      <c r="Y150" s="16"/>
      <c r="Z150" s="16"/>
      <c r="AA150" s="16"/>
      <c r="AB150" s="16"/>
      <c r="AC150" s="16"/>
      <c r="AD150" s="30">
        <f t="shared" si="8"/>
        <v>0</v>
      </c>
      <c r="AE150" s="38" t="s">
        <v>21</v>
      </c>
      <c r="AF150" s="63" t="s">
        <v>192</v>
      </c>
      <c r="AG150" s="47"/>
      <c r="AH150" s="47"/>
    </row>
    <row r="151" spans="1:34" s="3" customFormat="1" x14ac:dyDescent="0.25">
      <c r="A151" s="47" t="s">
        <v>124</v>
      </c>
      <c r="B151" s="38">
        <v>85987977559</v>
      </c>
      <c r="C151" s="16" t="s">
        <v>210</v>
      </c>
      <c r="D151" s="46" t="s">
        <v>20</v>
      </c>
      <c r="E151" s="46" t="s">
        <v>211</v>
      </c>
      <c r="F151" s="16" t="s">
        <v>9</v>
      </c>
      <c r="G151" s="16" t="s">
        <v>16</v>
      </c>
      <c r="H151" s="16" t="s">
        <v>16</v>
      </c>
      <c r="I151" s="16" t="s">
        <v>16</v>
      </c>
      <c r="J151" s="16" t="s">
        <v>16</v>
      </c>
      <c r="K151" s="16" t="s">
        <v>16</v>
      </c>
      <c r="L151" s="16" t="s">
        <v>16</v>
      </c>
      <c r="M151" s="16" t="s">
        <v>16</v>
      </c>
      <c r="N151" s="16" t="s">
        <v>16</v>
      </c>
      <c r="O151" s="30">
        <f t="shared" si="9"/>
        <v>1</v>
      </c>
      <c r="P151" s="16" t="s">
        <v>9</v>
      </c>
      <c r="Q151" s="16" t="s">
        <v>16</v>
      </c>
      <c r="R151" s="16" t="s">
        <v>16</v>
      </c>
      <c r="S151" s="46" t="s">
        <v>16</v>
      </c>
      <c r="T151" s="16" t="s">
        <v>16</v>
      </c>
      <c r="U151" s="30">
        <f t="shared" si="7"/>
        <v>1</v>
      </c>
      <c r="V151" s="16" t="s">
        <v>16</v>
      </c>
      <c r="W151" s="16" t="s">
        <v>16</v>
      </c>
      <c r="X151" s="16"/>
      <c r="Y151" s="16"/>
      <c r="Z151" s="16"/>
      <c r="AA151" s="16"/>
      <c r="AB151" s="16"/>
      <c r="AC151" s="16"/>
      <c r="AD151" s="30">
        <f t="shared" si="8"/>
        <v>0</v>
      </c>
      <c r="AE151" s="38" t="s">
        <v>21</v>
      </c>
      <c r="AF151" s="63" t="s">
        <v>197</v>
      </c>
      <c r="AG151" s="47"/>
      <c r="AH151" s="47"/>
    </row>
    <row r="152" spans="1:34" s="3" customFormat="1" x14ac:dyDescent="0.25">
      <c r="A152" s="47" t="s">
        <v>126</v>
      </c>
      <c r="B152" s="38">
        <v>85988546147</v>
      </c>
      <c r="C152" s="16" t="s">
        <v>210</v>
      </c>
      <c r="D152" s="46" t="s">
        <v>20</v>
      </c>
      <c r="E152" s="46" t="s">
        <v>211</v>
      </c>
      <c r="F152" s="16" t="s">
        <v>9</v>
      </c>
      <c r="G152" s="16" t="s">
        <v>16</v>
      </c>
      <c r="H152" s="16" t="s">
        <v>16</v>
      </c>
      <c r="I152" s="16" t="s">
        <v>16</v>
      </c>
      <c r="J152" s="16" t="s">
        <v>16</v>
      </c>
      <c r="K152" s="16" t="s">
        <v>16</v>
      </c>
      <c r="L152" s="16" t="s">
        <v>16</v>
      </c>
      <c r="M152" s="16" t="s">
        <v>16</v>
      </c>
      <c r="N152" s="16" t="s">
        <v>16</v>
      </c>
      <c r="O152" s="30">
        <f t="shared" si="9"/>
        <v>1</v>
      </c>
      <c r="P152" s="16" t="s">
        <v>9</v>
      </c>
      <c r="Q152" s="16" t="s">
        <v>16</v>
      </c>
      <c r="R152" s="16" t="s">
        <v>16</v>
      </c>
      <c r="S152" s="46" t="s">
        <v>16</v>
      </c>
      <c r="T152" s="16" t="s">
        <v>16</v>
      </c>
      <c r="U152" s="30">
        <f t="shared" si="7"/>
        <v>1</v>
      </c>
      <c r="V152" s="16" t="s">
        <v>16</v>
      </c>
      <c r="W152" s="16" t="s">
        <v>16</v>
      </c>
      <c r="X152" s="16"/>
      <c r="Y152" s="16"/>
      <c r="Z152" s="16"/>
      <c r="AA152" s="16"/>
      <c r="AB152" s="16"/>
      <c r="AC152" s="16"/>
      <c r="AD152" s="30">
        <f t="shared" si="8"/>
        <v>0</v>
      </c>
      <c r="AE152" s="38" t="s">
        <v>21</v>
      </c>
      <c r="AF152" s="63" t="s">
        <v>198</v>
      </c>
      <c r="AG152" s="47"/>
      <c r="AH152" s="47"/>
    </row>
    <row r="153" spans="1:34" s="3" customFormat="1" x14ac:dyDescent="0.25">
      <c r="A153" s="47" t="s">
        <v>128</v>
      </c>
      <c r="B153" s="38"/>
      <c r="C153" s="16" t="s">
        <v>210</v>
      </c>
      <c r="D153" s="46" t="s">
        <v>20</v>
      </c>
      <c r="E153" s="46" t="s">
        <v>211</v>
      </c>
      <c r="F153" s="16" t="s">
        <v>34</v>
      </c>
      <c r="G153" s="16" t="s">
        <v>34</v>
      </c>
      <c r="H153" s="16" t="s">
        <v>34</v>
      </c>
      <c r="I153" s="16" t="s">
        <v>34</v>
      </c>
      <c r="J153" s="16" t="s">
        <v>34</v>
      </c>
      <c r="K153" s="16" t="s">
        <v>34</v>
      </c>
      <c r="L153" s="16" t="s">
        <v>34</v>
      </c>
      <c r="M153" s="16" t="s">
        <v>34</v>
      </c>
      <c r="N153" s="16" t="s">
        <v>34</v>
      </c>
      <c r="O153" s="30">
        <f t="shared" si="9"/>
        <v>0</v>
      </c>
      <c r="P153" s="16" t="s">
        <v>34</v>
      </c>
      <c r="Q153" s="16" t="s">
        <v>34</v>
      </c>
      <c r="R153" s="16" t="s">
        <v>16</v>
      </c>
      <c r="S153" s="46" t="s">
        <v>16</v>
      </c>
      <c r="T153" s="16" t="s">
        <v>16</v>
      </c>
      <c r="U153" s="30">
        <f t="shared" si="7"/>
        <v>0</v>
      </c>
      <c r="V153" s="16" t="s">
        <v>16</v>
      </c>
      <c r="W153" s="16" t="s">
        <v>16</v>
      </c>
      <c r="X153" s="16"/>
      <c r="Y153" s="16"/>
      <c r="Z153" s="16"/>
      <c r="AA153" s="16"/>
      <c r="AB153" s="16"/>
      <c r="AC153" s="16"/>
      <c r="AD153" s="30">
        <f t="shared" si="8"/>
        <v>0</v>
      </c>
      <c r="AE153" s="38"/>
      <c r="AF153" s="47"/>
      <c r="AG153" s="47"/>
      <c r="AH153" s="47"/>
    </row>
    <row r="154" spans="1:34" s="3" customFormat="1" x14ac:dyDescent="0.25">
      <c r="A154" s="47" t="s">
        <v>133</v>
      </c>
      <c r="B154" s="38"/>
      <c r="C154" s="16" t="s">
        <v>210</v>
      </c>
      <c r="D154" s="46" t="s">
        <v>20</v>
      </c>
      <c r="E154" s="46" t="s">
        <v>211</v>
      </c>
      <c r="F154" s="16" t="s">
        <v>34</v>
      </c>
      <c r="G154" s="16" t="s">
        <v>34</v>
      </c>
      <c r="H154" s="16" t="s">
        <v>34</v>
      </c>
      <c r="I154" s="16" t="s">
        <v>34</v>
      </c>
      <c r="J154" s="16" t="s">
        <v>34</v>
      </c>
      <c r="K154" s="16" t="s">
        <v>34</v>
      </c>
      <c r="L154" s="16" t="s">
        <v>34</v>
      </c>
      <c r="M154" s="16" t="s">
        <v>34</v>
      </c>
      <c r="N154" s="16" t="s">
        <v>34</v>
      </c>
      <c r="O154" s="30">
        <f t="shared" si="9"/>
        <v>0</v>
      </c>
      <c r="P154" s="16" t="s">
        <v>34</v>
      </c>
      <c r="Q154" s="16" t="s">
        <v>34</v>
      </c>
      <c r="R154" s="16" t="s">
        <v>16</v>
      </c>
      <c r="S154" s="46" t="s">
        <v>16</v>
      </c>
      <c r="T154" s="16" t="s">
        <v>16</v>
      </c>
      <c r="U154" s="30">
        <f t="shared" si="7"/>
        <v>0</v>
      </c>
      <c r="V154" s="16" t="s">
        <v>16</v>
      </c>
      <c r="W154" s="16" t="s">
        <v>16</v>
      </c>
      <c r="X154" s="16"/>
      <c r="Y154" s="16"/>
      <c r="Z154" s="16"/>
      <c r="AA154" s="16"/>
      <c r="AB154" s="16"/>
      <c r="AC154" s="16"/>
      <c r="AD154" s="30">
        <f t="shared" si="8"/>
        <v>0</v>
      </c>
      <c r="AE154" s="38" t="s">
        <v>17</v>
      </c>
      <c r="AF154" s="63" t="s">
        <v>199</v>
      </c>
      <c r="AG154" s="47" t="s">
        <v>32</v>
      </c>
      <c r="AH154" s="47"/>
    </row>
    <row r="155" spans="1:34" x14ac:dyDescent="0.25">
      <c r="A155" s="44" t="s">
        <v>136</v>
      </c>
      <c r="B155" s="38"/>
      <c r="C155" s="16" t="s">
        <v>210</v>
      </c>
      <c r="D155" s="46" t="s">
        <v>20</v>
      </c>
      <c r="E155" s="46" t="s">
        <v>211</v>
      </c>
      <c r="F155" s="16" t="s">
        <v>34</v>
      </c>
      <c r="G155" s="16" t="s">
        <v>34</v>
      </c>
      <c r="H155" s="16" t="s">
        <v>34</v>
      </c>
      <c r="I155" s="16" t="s">
        <v>34</v>
      </c>
      <c r="J155" s="16" t="s">
        <v>34</v>
      </c>
      <c r="K155" s="16" t="s">
        <v>34</v>
      </c>
      <c r="L155" s="16" t="s">
        <v>34</v>
      </c>
      <c r="M155" s="16" t="s">
        <v>34</v>
      </c>
      <c r="N155" s="16" t="s">
        <v>34</v>
      </c>
      <c r="O155" s="30">
        <f t="shared" si="9"/>
        <v>0</v>
      </c>
      <c r="P155" s="16" t="s">
        <v>16</v>
      </c>
      <c r="Q155" s="16" t="s">
        <v>16</v>
      </c>
      <c r="R155" s="16" t="s">
        <v>16</v>
      </c>
      <c r="S155" s="45" t="s">
        <v>16</v>
      </c>
      <c r="T155" s="16" t="s">
        <v>34</v>
      </c>
      <c r="U155" s="30">
        <f t="shared" si="7"/>
        <v>0</v>
      </c>
      <c r="V155" s="16" t="s">
        <v>34</v>
      </c>
      <c r="W155" s="16" t="s">
        <v>34</v>
      </c>
      <c r="X155" s="16" t="s">
        <v>34</v>
      </c>
      <c r="Y155" s="16" t="s">
        <v>34</v>
      </c>
      <c r="Z155" s="16" t="s">
        <v>34</v>
      </c>
      <c r="AA155" s="16" t="s">
        <v>34</v>
      </c>
      <c r="AB155" s="16" t="s">
        <v>34</v>
      </c>
      <c r="AC155" s="16" t="s">
        <v>34</v>
      </c>
      <c r="AD155" s="30">
        <f t="shared" si="8"/>
        <v>0</v>
      </c>
      <c r="AE155" s="38" t="s">
        <v>17</v>
      </c>
      <c r="AF155" s="13"/>
      <c r="AG155" s="44" t="s">
        <v>32</v>
      </c>
      <c r="AH155" s="44"/>
    </row>
    <row r="156" spans="1:34" x14ac:dyDescent="0.25">
      <c r="A156" s="44" t="s">
        <v>148</v>
      </c>
      <c r="B156" s="38">
        <v>85998481280</v>
      </c>
      <c r="C156" s="16" t="s">
        <v>210</v>
      </c>
      <c r="D156" s="46" t="s">
        <v>20</v>
      </c>
      <c r="E156" s="46" t="s">
        <v>211</v>
      </c>
      <c r="F156" s="16" t="s">
        <v>34</v>
      </c>
      <c r="G156" s="16" t="s">
        <v>34</v>
      </c>
      <c r="H156" s="16" t="s">
        <v>34</v>
      </c>
      <c r="I156" s="16" t="s">
        <v>34</v>
      </c>
      <c r="J156" s="16" t="s">
        <v>34</v>
      </c>
      <c r="K156" s="16" t="s">
        <v>34</v>
      </c>
      <c r="L156" s="16" t="s">
        <v>34</v>
      </c>
      <c r="M156" s="16" t="s">
        <v>34</v>
      </c>
      <c r="N156" s="16" t="s">
        <v>34</v>
      </c>
      <c r="O156" s="30">
        <f t="shared" si="9"/>
        <v>0</v>
      </c>
      <c r="P156" s="16" t="s">
        <v>34</v>
      </c>
      <c r="Q156" s="16" t="s">
        <v>34</v>
      </c>
      <c r="R156" s="16" t="s">
        <v>16</v>
      </c>
      <c r="S156" s="45" t="s">
        <v>16</v>
      </c>
      <c r="T156" s="16" t="s">
        <v>16</v>
      </c>
      <c r="U156" s="30">
        <f t="shared" si="7"/>
        <v>0</v>
      </c>
      <c r="V156" s="16" t="s">
        <v>16</v>
      </c>
      <c r="W156" s="16" t="s">
        <v>16</v>
      </c>
      <c r="X156" s="16" t="s">
        <v>34</v>
      </c>
      <c r="Y156" s="16" t="s">
        <v>34</v>
      </c>
      <c r="Z156" s="16" t="s">
        <v>34</v>
      </c>
      <c r="AA156" s="16" t="s">
        <v>34</v>
      </c>
      <c r="AB156" s="16" t="s">
        <v>34</v>
      </c>
      <c r="AC156" s="16" t="s">
        <v>34</v>
      </c>
      <c r="AD156" s="30">
        <f t="shared" si="8"/>
        <v>0</v>
      </c>
      <c r="AE156" s="38" t="s">
        <v>17</v>
      </c>
      <c r="AF156" s="13" t="s">
        <v>203</v>
      </c>
      <c r="AG156" s="44" t="s">
        <v>149</v>
      </c>
      <c r="AH156" s="44"/>
    </row>
    <row r="157" spans="1:34" x14ac:dyDescent="0.25">
      <c r="A157" s="44" t="s">
        <v>48</v>
      </c>
      <c r="B157" s="38">
        <v>85997872897</v>
      </c>
      <c r="C157" s="16" t="s">
        <v>210</v>
      </c>
      <c r="D157" s="46" t="s">
        <v>20</v>
      </c>
      <c r="E157" s="46" t="s">
        <v>211</v>
      </c>
      <c r="F157" s="16" t="s">
        <v>34</v>
      </c>
      <c r="G157" s="16" t="s">
        <v>34</v>
      </c>
      <c r="H157" s="16" t="s">
        <v>34</v>
      </c>
      <c r="I157" s="16" t="s">
        <v>34</v>
      </c>
      <c r="J157" s="16" t="s">
        <v>34</v>
      </c>
      <c r="K157" s="16" t="s">
        <v>34</v>
      </c>
      <c r="L157" s="16" t="s">
        <v>34</v>
      </c>
      <c r="M157" s="16" t="s">
        <v>34</v>
      </c>
      <c r="N157" s="16" t="s">
        <v>34</v>
      </c>
      <c r="O157" s="30">
        <f t="shared" si="9"/>
        <v>0</v>
      </c>
      <c r="P157" s="16" t="s">
        <v>34</v>
      </c>
      <c r="Q157" s="16" t="s">
        <v>34</v>
      </c>
      <c r="R157" s="16" t="s">
        <v>34</v>
      </c>
      <c r="S157" s="16" t="s">
        <v>34</v>
      </c>
      <c r="T157" s="16" t="s">
        <v>34</v>
      </c>
      <c r="U157" s="30">
        <f t="shared" si="7"/>
        <v>0</v>
      </c>
      <c r="V157" s="16"/>
      <c r="W157" s="16"/>
      <c r="X157" s="16"/>
      <c r="Y157" s="16"/>
      <c r="Z157" s="16"/>
      <c r="AA157" s="16"/>
      <c r="AB157" s="16"/>
      <c r="AC157" s="16"/>
      <c r="AD157" s="30">
        <f t="shared" si="8"/>
        <v>0</v>
      </c>
      <c r="AE157" s="62"/>
      <c r="AF157" s="44"/>
      <c r="AG157" s="44"/>
      <c r="AH157" s="44"/>
    </row>
    <row r="158" spans="1:34" x14ac:dyDescent="0.25">
      <c r="A158" s="44" t="s">
        <v>60</v>
      </c>
      <c r="B158" s="38">
        <v>85999377814</v>
      </c>
      <c r="C158" s="16" t="s">
        <v>210</v>
      </c>
      <c r="D158" s="46" t="s">
        <v>20</v>
      </c>
      <c r="E158" s="46" t="s">
        <v>211</v>
      </c>
      <c r="F158" s="16" t="s">
        <v>34</v>
      </c>
      <c r="G158" s="16" t="s">
        <v>34</v>
      </c>
      <c r="H158" s="16" t="s">
        <v>34</v>
      </c>
      <c r="I158" s="16" t="s">
        <v>34</v>
      </c>
      <c r="J158" s="16" t="s">
        <v>34</v>
      </c>
      <c r="K158" s="16" t="s">
        <v>34</v>
      </c>
      <c r="L158" s="16" t="s">
        <v>34</v>
      </c>
      <c r="M158" s="16" t="s">
        <v>34</v>
      </c>
      <c r="N158" s="16" t="s">
        <v>34</v>
      </c>
      <c r="O158" s="30">
        <f t="shared" si="9"/>
        <v>0</v>
      </c>
      <c r="P158" s="16" t="s">
        <v>34</v>
      </c>
      <c r="Q158" s="16" t="s">
        <v>34</v>
      </c>
      <c r="R158" s="16" t="s">
        <v>34</v>
      </c>
      <c r="S158" s="16" t="s">
        <v>34</v>
      </c>
      <c r="T158" s="16" t="s">
        <v>34</v>
      </c>
      <c r="U158" s="30">
        <f t="shared" si="7"/>
        <v>0</v>
      </c>
      <c r="V158" s="16" t="s">
        <v>34</v>
      </c>
      <c r="W158" s="16" t="s">
        <v>34</v>
      </c>
      <c r="X158" s="16" t="s">
        <v>34</v>
      </c>
      <c r="Y158" s="16" t="s">
        <v>34</v>
      </c>
      <c r="Z158" s="16" t="s">
        <v>34</v>
      </c>
      <c r="AA158" s="16" t="s">
        <v>34</v>
      </c>
      <c r="AB158" s="16" t="s">
        <v>34</v>
      </c>
      <c r="AC158" s="16" t="s">
        <v>34</v>
      </c>
      <c r="AD158" s="30">
        <f t="shared" si="8"/>
        <v>0</v>
      </c>
      <c r="AE158" s="65"/>
      <c r="AF158" s="44"/>
      <c r="AG158" s="44"/>
      <c r="AH158" s="44"/>
    </row>
    <row r="159" spans="1:34" x14ac:dyDescent="0.25">
      <c r="A159" s="44" t="s">
        <v>100</v>
      </c>
      <c r="B159" s="38">
        <v>85997872897</v>
      </c>
      <c r="C159" s="16" t="s">
        <v>210</v>
      </c>
      <c r="D159" s="46" t="s">
        <v>20</v>
      </c>
      <c r="E159" s="46" t="s">
        <v>211</v>
      </c>
      <c r="F159" s="16" t="s">
        <v>34</v>
      </c>
      <c r="G159" s="16" t="s">
        <v>34</v>
      </c>
      <c r="H159" s="16" t="s">
        <v>34</v>
      </c>
      <c r="I159" s="16" t="s">
        <v>34</v>
      </c>
      <c r="J159" s="16" t="s">
        <v>34</v>
      </c>
      <c r="K159" s="16" t="s">
        <v>34</v>
      </c>
      <c r="L159" s="16" t="s">
        <v>34</v>
      </c>
      <c r="M159" s="16" t="s">
        <v>34</v>
      </c>
      <c r="N159" s="16" t="s">
        <v>34</v>
      </c>
      <c r="O159" s="30">
        <f t="shared" si="9"/>
        <v>0</v>
      </c>
      <c r="P159" s="16" t="s">
        <v>34</v>
      </c>
      <c r="Q159" s="16" t="s">
        <v>34</v>
      </c>
      <c r="R159" s="16" t="s">
        <v>34</v>
      </c>
      <c r="S159" s="45" t="s">
        <v>34</v>
      </c>
      <c r="T159" s="45" t="s">
        <v>34</v>
      </c>
      <c r="U159" s="30">
        <f t="shared" si="7"/>
        <v>0</v>
      </c>
      <c r="V159" s="45" t="s">
        <v>34</v>
      </c>
      <c r="W159" s="45" t="s">
        <v>34</v>
      </c>
      <c r="X159" s="16"/>
      <c r="Y159" s="16"/>
      <c r="Z159" s="16"/>
      <c r="AA159" s="16"/>
      <c r="AB159" s="16"/>
      <c r="AC159" s="16"/>
      <c r="AD159" s="30">
        <f t="shared" si="8"/>
        <v>0</v>
      </c>
      <c r="AE159" s="62"/>
      <c r="AF159" s="44"/>
      <c r="AG159" s="44"/>
      <c r="AH159" s="44"/>
    </row>
    <row r="160" spans="1:34" x14ac:dyDescent="0.25">
      <c r="A160" s="47" t="s">
        <v>262</v>
      </c>
      <c r="B160" s="38"/>
      <c r="C160" s="16" t="s">
        <v>210</v>
      </c>
      <c r="D160" s="46" t="s">
        <v>20</v>
      </c>
      <c r="E160" s="46" t="s">
        <v>211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30">
        <f t="shared" si="9"/>
        <v>0</v>
      </c>
      <c r="P160" s="16" t="s">
        <v>34</v>
      </c>
      <c r="Q160" s="16" t="s">
        <v>34</v>
      </c>
      <c r="R160" s="16" t="s">
        <v>34</v>
      </c>
      <c r="S160" s="45" t="s">
        <v>16</v>
      </c>
      <c r="T160" s="16" t="s">
        <v>34</v>
      </c>
      <c r="U160" s="30">
        <f t="shared" si="7"/>
        <v>0</v>
      </c>
      <c r="V160" s="16" t="s">
        <v>16</v>
      </c>
      <c r="W160" s="16" t="s">
        <v>34</v>
      </c>
      <c r="X160" s="16"/>
      <c r="Y160" s="16"/>
      <c r="Z160" s="16"/>
      <c r="AA160" s="16"/>
      <c r="AB160" s="16"/>
      <c r="AC160" s="16"/>
      <c r="AD160" s="30">
        <f t="shared" si="8"/>
        <v>0</v>
      </c>
      <c r="AE160" s="38"/>
      <c r="AF160" s="13"/>
      <c r="AG160" s="44"/>
      <c r="AH160" s="44"/>
    </row>
    <row r="161" spans="1:34" x14ac:dyDescent="0.25">
      <c r="A161" s="44" t="s">
        <v>111</v>
      </c>
      <c r="B161" s="38">
        <v>85994516590</v>
      </c>
      <c r="C161" s="16" t="s">
        <v>210</v>
      </c>
      <c r="D161" s="46" t="s">
        <v>20</v>
      </c>
      <c r="E161" s="46" t="s">
        <v>211</v>
      </c>
      <c r="F161" s="16" t="s">
        <v>16</v>
      </c>
      <c r="G161" s="16" t="s">
        <v>16</v>
      </c>
      <c r="H161" s="16" t="s">
        <v>16</v>
      </c>
      <c r="I161" s="16" t="s">
        <v>9</v>
      </c>
      <c r="J161" s="16" t="s">
        <v>9</v>
      </c>
      <c r="K161" s="16" t="s">
        <v>9</v>
      </c>
      <c r="L161" s="16" t="s">
        <v>16</v>
      </c>
      <c r="M161" s="16" t="s">
        <v>16</v>
      </c>
      <c r="N161" s="16" t="s">
        <v>16</v>
      </c>
      <c r="O161" s="30">
        <f t="shared" si="9"/>
        <v>3</v>
      </c>
      <c r="P161" s="16" t="s">
        <v>9</v>
      </c>
      <c r="Q161" s="16" t="s">
        <v>16</v>
      </c>
      <c r="R161" s="16" t="s">
        <v>16</v>
      </c>
      <c r="S161" s="45" t="s">
        <v>16</v>
      </c>
      <c r="T161" s="16" t="s">
        <v>16</v>
      </c>
      <c r="U161" s="30">
        <f t="shared" si="7"/>
        <v>1</v>
      </c>
      <c r="V161" s="16" t="s">
        <v>16</v>
      </c>
      <c r="W161" s="16" t="s">
        <v>16</v>
      </c>
      <c r="X161" s="16"/>
      <c r="Y161" s="16"/>
      <c r="Z161" s="16"/>
      <c r="AA161" s="16"/>
      <c r="AB161" s="16"/>
      <c r="AC161" s="16"/>
      <c r="AD161" s="30">
        <f t="shared" si="8"/>
        <v>0</v>
      </c>
      <c r="AE161" s="38" t="s">
        <v>21</v>
      </c>
      <c r="AF161" s="13" t="s">
        <v>173</v>
      </c>
      <c r="AG161" s="44"/>
      <c r="AH161" s="44"/>
    </row>
    <row r="162" spans="1:34" x14ac:dyDescent="0.25">
      <c r="A162" s="32" t="s">
        <v>89</v>
      </c>
      <c r="B162" s="33">
        <v>8599447040</v>
      </c>
      <c r="C162" s="34" t="s">
        <v>210</v>
      </c>
      <c r="D162" s="35" t="s">
        <v>20</v>
      </c>
      <c r="E162" s="35" t="s">
        <v>211</v>
      </c>
      <c r="F162" s="34" t="s">
        <v>9</v>
      </c>
      <c r="G162" s="34" t="s">
        <v>16</v>
      </c>
      <c r="H162" s="34" t="s">
        <v>16</v>
      </c>
      <c r="I162" s="34" t="s">
        <v>16</v>
      </c>
      <c r="J162" s="34" t="s">
        <v>16</v>
      </c>
      <c r="K162" s="34" t="s">
        <v>16</v>
      </c>
      <c r="L162" s="34" t="s">
        <v>16</v>
      </c>
      <c r="M162" s="34" t="s">
        <v>16</v>
      </c>
      <c r="N162" s="34" t="s">
        <v>16</v>
      </c>
      <c r="O162" s="34">
        <f t="shared" si="9"/>
        <v>1</v>
      </c>
      <c r="P162" s="34" t="s">
        <v>16</v>
      </c>
      <c r="Q162" s="34" t="s">
        <v>16</v>
      </c>
      <c r="R162" s="34" t="s">
        <v>16</v>
      </c>
      <c r="S162" s="35"/>
      <c r="T162" s="34" t="s">
        <v>34</v>
      </c>
      <c r="U162" s="34">
        <f t="shared" si="7"/>
        <v>0</v>
      </c>
      <c r="V162" s="34" t="s">
        <v>16</v>
      </c>
      <c r="W162" s="34" t="s">
        <v>16</v>
      </c>
      <c r="X162" s="34" t="s">
        <v>16</v>
      </c>
      <c r="Y162" s="34" t="s">
        <v>16</v>
      </c>
      <c r="Z162" s="34" t="s">
        <v>16</v>
      </c>
      <c r="AA162" s="34" t="s">
        <v>16</v>
      </c>
      <c r="AB162" s="34" t="s">
        <v>16</v>
      </c>
      <c r="AC162" s="34" t="s">
        <v>16</v>
      </c>
      <c r="AD162" s="34">
        <f t="shared" si="8"/>
        <v>0</v>
      </c>
      <c r="AE162" s="33" t="s">
        <v>17</v>
      </c>
      <c r="AF162" s="36" t="s">
        <v>184</v>
      </c>
      <c r="AG162" s="32" t="s">
        <v>88</v>
      </c>
      <c r="AH162" s="32"/>
    </row>
    <row r="163" spans="1:34" x14ac:dyDescent="0.25">
      <c r="B163" s="21"/>
      <c r="F163" s="43"/>
      <c r="G163" s="43"/>
      <c r="H163" s="43"/>
      <c r="I163" s="43"/>
      <c r="J163" s="43"/>
      <c r="K163" s="43"/>
      <c r="L163" s="43"/>
      <c r="M163" s="43"/>
      <c r="N163" s="43"/>
      <c r="P163" s="43"/>
      <c r="Q163" s="43"/>
      <c r="R163" s="43"/>
      <c r="S163" s="43"/>
      <c r="U163" s="6"/>
      <c r="V163" s="43"/>
      <c r="W163" s="43"/>
      <c r="X163" s="43"/>
      <c r="Y163" s="43"/>
      <c r="Z163" s="43"/>
      <c r="AA163" s="43"/>
      <c r="AB163" s="43"/>
      <c r="AC163" s="43"/>
      <c r="AE163" s="21"/>
    </row>
    <row r="164" spans="1:34" x14ac:dyDescent="0.25">
      <c r="B164" s="21"/>
      <c r="F164" s="43"/>
      <c r="G164" s="43"/>
      <c r="H164" s="43"/>
      <c r="I164" s="43"/>
      <c r="J164" s="43"/>
      <c r="K164" s="43"/>
      <c r="L164" s="43"/>
      <c r="M164" s="43"/>
      <c r="N164" s="43"/>
      <c r="P164" s="43"/>
      <c r="Q164" s="43"/>
      <c r="R164" s="43"/>
      <c r="S164" s="43"/>
      <c r="U164" s="6"/>
      <c r="V164" s="43"/>
      <c r="W164" s="43"/>
      <c r="X164" s="43"/>
      <c r="Y164" s="43"/>
      <c r="Z164" s="43"/>
      <c r="AA164" s="43"/>
      <c r="AB164" s="43"/>
      <c r="AC164" s="43"/>
      <c r="AE164" s="21"/>
    </row>
    <row r="165" spans="1:34" x14ac:dyDescent="0.25">
      <c r="B165" s="21"/>
      <c r="F165" s="43"/>
      <c r="G165" s="43"/>
      <c r="H165" s="43"/>
      <c r="I165" s="43"/>
      <c r="J165" s="43"/>
      <c r="K165" s="43"/>
      <c r="L165" s="43"/>
      <c r="M165" s="43"/>
      <c r="N165" s="43"/>
      <c r="P165" s="43"/>
      <c r="Q165" s="43"/>
      <c r="R165" s="43"/>
      <c r="S165" s="43"/>
      <c r="U165" s="6"/>
      <c r="V165" s="43"/>
      <c r="W165" s="43"/>
      <c r="X165" s="43"/>
      <c r="Y165" s="43"/>
      <c r="Z165" s="43"/>
      <c r="AA165" s="43"/>
      <c r="AB165" s="43"/>
      <c r="AC165" s="43"/>
      <c r="AE165" s="21"/>
    </row>
    <row r="166" spans="1:34" x14ac:dyDescent="0.25">
      <c r="B166" s="21"/>
      <c r="F166" s="43"/>
      <c r="G166" s="43"/>
      <c r="H166" s="43"/>
      <c r="I166" s="43"/>
      <c r="J166" s="43"/>
      <c r="K166" s="43"/>
      <c r="L166" s="43"/>
      <c r="M166" s="43"/>
      <c r="N166" s="43"/>
      <c r="P166" s="43"/>
      <c r="Q166" s="43"/>
      <c r="R166" s="43"/>
      <c r="S166" s="43"/>
      <c r="U166" s="6"/>
      <c r="V166" s="43"/>
      <c r="W166" s="43"/>
      <c r="X166" s="43"/>
      <c r="Y166" s="43"/>
      <c r="Z166" s="43"/>
      <c r="AA166" s="43"/>
      <c r="AB166" s="43"/>
      <c r="AC166" s="43"/>
      <c r="AE166" s="21"/>
    </row>
    <row r="167" spans="1:34" x14ac:dyDescent="0.25">
      <c r="B167" s="21"/>
      <c r="F167" s="43"/>
      <c r="G167" s="43"/>
      <c r="H167" s="43"/>
      <c r="I167" s="43"/>
      <c r="J167" s="43"/>
      <c r="K167" s="43"/>
      <c r="L167" s="43"/>
      <c r="M167" s="43"/>
      <c r="N167" s="43"/>
      <c r="P167" s="43"/>
      <c r="Q167" s="43"/>
      <c r="R167" s="43"/>
      <c r="S167" s="43"/>
      <c r="U167" s="6"/>
      <c r="V167" s="43"/>
      <c r="W167" s="43"/>
      <c r="X167" s="43"/>
      <c r="Y167" s="43"/>
      <c r="Z167" s="43"/>
      <c r="AA167" s="43"/>
      <c r="AB167" s="43"/>
      <c r="AC167" s="43"/>
      <c r="AE167" s="21"/>
    </row>
    <row r="168" spans="1:34" x14ac:dyDescent="0.25">
      <c r="B168" s="21"/>
      <c r="F168" s="43"/>
      <c r="G168" s="43"/>
      <c r="H168" s="43"/>
      <c r="I168" s="43"/>
      <c r="J168" s="43"/>
      <c r="K168" s="43"/>
      <c r="L168" s="43"/>
      <c r="M168" s="43"/>
      <c r="N168" s="43"/>
      <c r="P168" s="43"/>
      <c r="Q168" s="43"/>
      <c r="R168" s="43"/>
      <c r="S168" s="43"/>
      <c r="U168" s="6"/>
      <c r="V168" s="43"/>
      <c r="W168" s="43"/>
      <c r="X168" s="43"/>
      <c r="Y168" s="43"/>
      <c r="Z168" s="43"/>
      <c r="AA168" s="43"/>
      <c r="AB168" s="43"/>
      <c r="AC168" s="43"/>
      <c r="AE168" s="21"/>
    </row>
    <row r="169" spans="1:34" x14ac:dyDescent="0.25">
      <c r="B169" s="21"/>
      <c r="F169" s="43"/>
      <c r="G169" s="43"/>
      <c r="H169" s="43"/>
      <c r="I169" s="43"/>
      <c r="J169" s="43"/>
      <c r="K169" s="43"/>
      <c r="L169" s="43"/>
      <c r="M169" s="43"/>
      <c r="N169" s="43"/>
      <c r="P169" s="43"/>
      <c r="Q169" s="43"/>
      <c r="R169" s="43"/>
      <c r="S169" s="43"/>
      <c r="U169" s="6"/>
      <c r="V169" s="43"/>
      <c r="W169" s="43"/>
      <c r="X169" s="43"/>
      <c r="Y169" s="43"/>
      <c r="Z169" s="43"/>
      <c r="AA169" s="43"/>
      <c r="AB169" s="43"/>
      <c r="AC169" s="43"/>
      <c r="AE169" s="21"/>
    </row>
    <row r="170" spans="1:34" x14ac:dyDescent="0.25">
      <c r="B170" s="21"/>
      <c r="F170" s="43"/>
      <c r="G170" s="43"/>
      <c r="H170" s="43"/>
      <c r="I170" s="43"/>
      <c r="J170" s="43"/>
      <c r="K170" s="43"/>
      <c r="L170" s="43"/>
      <c r="M170" s="43"/>
      <c r="N170" s="43"/>
      <c r="P170" s="43"/>
      <c r="Q170" s="43"/>
      <c r="R170" s="43"/>
      <c r="S170" s="43"/>
      <c r="U170" s="6"/>
      <c r="V170" s="43"/>
      <c r="W170" s="43"/>
      <c r="X170" s="43"/>
      <c r="Y170" s="43"/>
      <c r="Z170" s="43"/>
      <c r="AA170" s="43"/>
      <c r="AB170" s="43"/>
      <c r="AC170" s="43"/>
      <c r="AE170" s="21"/>
    </row>
    <row r="171" spans="1:34" x14ac:dyDescent="0.25">
      <c r="B171" s="21"/>
      <c r="F171" s="43"/>
      <c r="G171" s="43"/>
      <c r="H171" s="43"/>
      <c r="I171" s="43"/>
      <c r="J171" s="43"/>
      <c r="K171" s="43"/>
      <c r="L171" s="43"/>
      <c r="M171" s="43"/>
      <c r="N171" s="43"/>
      <c r="P171" s="43"/>
      <c r="Q171" s="43"/>
      <c r="R171" s="43"/>
      <c r="S171" s="43"/>
      <c r="U171" s="6"/>
      <c r="V171" s="43"/>
      <c r="W171" s="43"/>
      <c r="X171" s="43"/>
      <c r="Y171" s="43"/>
      <c r="Z171" s="43"/>
      <c r="AA171" s="43"/>
      <c r="AB171" s="43"/>
      <c r="AC171" s="43"/>
      <c r="AE171" s="21"/>
    </row>
    <row r="172" spans="1:34" x14ac:dyDescent="0.25">
      <c r="B172" s="21"/>
      <c r="F172" s="43"/>
      <c r="G172" s="43"/>
      <c r="H172" s="43"/>
      <c r="I172" s="43"/>
      <c r="J172" s="43"/>
      <c r="K172" s="43"/>
      <c r="L172" s="43"/>
      <c r="M172" s="43"/>
      <c r="N172" s="43"/>
      <c r="P172" s="43"/>
      <c r="Q172" s="43"/>
      <c r="R172" s="43"/>
      <c r="S172" s="43"/>
      <c r="U172" s="6"/>
      <c r="V172" s="43"/>
      <c r="W172" s="43"/>
      <c r="X172" s="43"/>
      <c r="Y172" s="43"/>
      <c r="Z172" s="43"/>
      <c r="AA172" s="43"/>
      <c r="AB172" s="43"/>
      <c r="AC172" s="43"/>
      <c r="AE172" s="21"/>
    </row>
    <row r="173" spans="1:34" x14ac:dyDescent="0.25">
      <c r="B173" s="21"/>
      <c r="F173" s="43"/>
      <c r="G173" s="43"/>
      <c r="H173" s="43"/>
      <c r="I173" s="43"/>
      <c r="J173" s="43"/>
      <c r="K173" s="43"/>
      <c r="L173" s="43"/>
      <c r="M173" s="43"/>
      <c r="N173" s="43"/>
      <c r="P173" s="43"/>
      <c r="Q173" s="43"/>
      <c r="R173" s="43"/>
      <c r="S173" s="43"/>
      <c r="U173" s="6"/>
      <c r="V173" s="43"/>
      <c r="W173" s="43"/>
      <c r="X173" s="43"/>
      <c r="Y173" s="43"/>
      <c r="Z173" s="43"/>
      <c r="AA173" s="43"/>
      <c r="AB173" s="43"/>
      <c r="AC173" s="43"/>
      <c r="AE173" s="21"/>
    </row>
    <row r="174" spans="1:34" x14ac:dyDescent="0.25">
      <c r="B174" s="21"/>
      <c r="F174" s="43"/>
      <c r="G174" s="43"/>
      <c r="H174" s="43"/>
      <c r="I174" s="43"/>
      <c r="J174" s="43"/>
      <c r="K174" s="43"/>
      <c r="L174" s="43"/>
      <c r="M174" s="43"/>
      <c r="N174" s="43"/>
      <c r="P174" s="43"/>
      <c r="Q174" s="43"/>
      <c r="R174" s="43"/>
      <c r="S174" s="43"/>
      <c r="U174" s="6"/>
      <c r="V174" s="43"/>
      <c r="W174" s="43"/>
      <c r="X174" s="43"/>
      <c r="Y174" s="43"/>
      <c r="Z174" s="43"/>
      <c r="AA174" s="43"/>
      <c r="AB174" s="43"/>
      <c r="AC174" s="43"/>
      <c r="AE174" s="21"/>
      <c r="AF174" s="10"/>
    </row>
    <row r="175" spans="1:34" x14ac:dyDescent="0.25">
      <c r="B175" s="21"/>
      <c r="F175" s="4">
        <f t="shared" ref="F175:N175" si="10">COUNTIF(F2:F173,"P")</f>
        <v>40</v>
      </c>
      <c r="G175" s="4">
        <f t="shared" si="10"/>
        <v>19</v>
      </c>
      <c r="H175" s="4">
        <f t="shared" si="10"/>
        <v>22</v>
      </c>
      <c r="I175" s="4">
        <f t="shared" si="10"/>
        <v>25</v>
      </c>
      <c r="J175" s="4">
        <f t="shared" si="10"/>
        <v>28</v>
      </c>
      <c r="K175" s="4">
        <f t="shared" si="10"/>
        <v>42</v>
      </c>
      <c r="L175" s="4">
        <f t="shared" si="10"/>
        <v>32</v>
      </c>
      <c r="M175" s="4">
        <f t="shared" si="10"/>
        <v>40</v>
      </c>
      <c r="N175" s="4">
        <f t="shared" si="10"/>
        <v>46</v>
      </c>
      <c r="O175" s="4"/>
      <c r="P175" s="4">
        <f>COUNTIF(P2:P173,"P")</f>
        <v>53</v>
      </c>
      <c r="Q175" s="4">
        <f>COUNTIF(Q2:Q173,"P")</f>
        <v>49</v>
      </c>
      <c r="R175" s="4">
        <f>COUNTIF(R2:R173,"P")</f>
        <v>67</v>
      </c>
      <c r="S175" s="4">
        <f>COUNTIF(S2:S173,"P")</f>
        <v>76</v>
      </c>
      <c r="T175" s="4">
        <f>COUNTIF(T2:T173,"P")</f>
        <v>87</v>
      </c>
      <c r="U175" s="30"/>
      <c r="V175" s="4">
        <f t="shared" ref="V175:AC175" si="11">COUNTIF(V2:V173,"P")</f>
        <v>95</v>
      </c>
      <c r="W175" s="4">
        <f>COUNTIF(W2:W173,"P")</f>
        <v>102</v>
      </c>
      <c r="X175" s="4">
        <f>COUNTIF(X2:X173,"P")</f>
        <v>102</v>
      </c>
      <c r="Y175" s="4">
        <f t="shared" si="11"/>
        <v>93</v>
      </c>
      <c r="Z175" s="4">
        <f t="shared" si="11"/>
        <v>82</v>
      </c>
      <c r="AA175" s="4">
        <f t="shared" si="11"/>
        <v>86</v>
      </c>
      <c r="AB175" s="4">
        <f t="shared" si="11"/>
        <v>79</v>
      </c>
      <c r="AC175" s="4">
        <f t="shared" si="11"/>
        <v>0</v>
      </c>
      <c r="AD175" s="4"/>
      <c r="AE175" s="21"/>
      <c r="AF175" s="10"/>
    </row>
    <row r="176" spans="1:34" x14ac:dyDescent="0.25">
      <c r="B176" s="21"/>
      <c r="M176" s="22"/>
      <c r="N176" s="31" t="s">
        <v>205</v>
      </c>
      <c r="O176" s="4">
        <f>COUNTA(A2:A173)</f>
        <v>161</v>
      </c>
      <c r="T176" s="31" t="s">
        <v>205</v>
      </c>
      <c r="U176" s="5">
        <f>COUNTA(A2:A173)</f>
        <v>161</v>
      </c>
      <c r="AB176" s="22"/>
      <c r="AC176" s="31" t="s">
        <v>205</v>
      </c>
      <c r="AD176" s="4">
        <f>COUNTA(A2:A173)</f>
        <v>161</v>
      </c>
      <c r="AE176" s="21"/>
      <c r="AF176" s="10"/>
    </row>
    <row r="177" spans="2:32" x14ac:dyDescent="0.25">
      <c r="B177" s="21"/>
      <c r="M177" s="22"/>
      <c r="N177" s="53" t="s">
        <v>206</v>
      </c>
      <c r="O177" s="4">
        <f>COUNTIF(O2:O173,"0")</f>
        <v>91</v>
      </c>
      <c r="T177" s="53" t="s">
        <v>206</v>
      </c>
      <c r="U177" s="5">
        <f>COUNTIF(U2:U173,"0")</f>
        <v>48</v>
      </c>
      <c r="AB177" s="22"/>
      <c r="AC177" s="53" t="s">
        <v>206</v>
      </c>
      <c r="AD177" s="4">
        <f>COUNTIF(AD2:AD173,"0")</f>
        <v>30</v>
      </c>
      <c r="AE177" s="21"/>
      <c r="AF177" s="10"/>
    </row>
    <row r="178" spans="2:32" x14ac:dyDescent="0.25">
      <c r="B178" s="21"/>
      <c r="M178" s="22"/>
      <c r="N178" s="54" t="s">
        <v>207</v>
      </c>
      <c r="O178" s="4">
        <f>O176-O177</f>
        <v>70</v>
      </c>
      <c r="T178" s="54" t="s">
        <v>207</v>
      </c>
      <c r="U178" s="5">
        <f>U176-U177</f>
        <v>113</v>
      </c>
      <c r="AB178" s="22"/>
      <c r="AC178" s="54" t="s">
        <v>207</v>
      </c>
      <c r="AD178" s="4">
        <f>AD176-AD177</f>
        <v>131</v>
      </c>
      <c r="AE178" s="21"/>
      <c r="AF178" s="10"/>
    </row>
    <row r="179" spans="2:32" x14ac:dyDescent="0.25">
      <c r="B179" s="21"/>
      <c r="S179" s="43"/>
      <c r="U179" s="6"/>
      <c r="AE179" s="21"/>
      <c r="AF179" s="10"/>
    </row>
    <row r="180" spans="2:32" x14ac:dyDescent="0.25">
      <c r="B180" s="21"/>
      <c r="F180" s="43"/>
      <c r="G180" s="43"/>
      <c r="H180" s="43"/>
      <c r="I180" s="43"/>
      <c r="J180" s="43"/>
      <c r="K180" s="43"/>
      <c r="L180" s="43"/>
      <c r="M180" s="43"/>
      <c r="N180" s="43"/>
      <c r="P180" s="43"/>
      <c r="Q180" s="43"/>
      <c r="R180" s="43"/>
      <c r="S180" s="43"/>
      <c r="U180" s="6"/>
      <c r="V180" s="43"/>
      <c r="W180" s="43"/>
      <c r="X180" s="43"/>
      <c r="Y180" s="43"/>
      <c r="Z180" s="43"/>
      <c r="AA180" s="43"/>
      <c r="AB180" s="43"/>
      <c r="AC180" s="43"/>
      <c r="AE180" s="21"/>
      <c r="AF180" s="10"/>
    </row>
    <row r="209" spans="1:1" x14ac:dyDescent="0.25">
      <c r="A209" s="77"/>
    </row>
  </sheetData>
  <autoFilter ref="A1:AH162" xr:uid="{00000000-0009-0000-0000-000002000000}"/>
  <sortState xmlns:xlrd2="http://schemas.microsoft.com/office/spreadsheetml/2017/richdata2" ref="A2:AG180">
    <sortCondition ref="A3:A180"/>
  </sortState>
  <conditionalFormatting sqref="D111 AF160:AF161 AF23">
    <cfRule type="containsText" dxfId="39" priority="13" operator="containsText" text="FALTA">
      <formula>NOT(ISERROR(SEARCH("FALTA",D23)))</formula>
    </cfRule>
  </conditionalFormatting>
  <conditionalFormatting sqref="AF34:AF38 AF47:AF58 AF119 AF135:AF173 AF45 D1:E180 AF1 AF8:AF11 AF16:AF19 AF26 AF30 AF40:AF43 AF60:AF62 AF65:AF72 AF175:AF177">
    <cfRule type="containsText" dxfId="38" priority="45" operator="containsText" text="FALTA">
      <formula>NOT(ISERROR(SEARCH("FALTA",D1)))</formula>
    </cfRule>
  </conditionalFormatting>
  <conditionalFormatting sqref="D41:E42 D52:E52 D54:E54 D66:E66 D90:E90 D92:E92 D95:E98 D110:E110 D117:E120 D122:E122 D124:E127 D131:E132 AF38 AF52 AF84:AF85 AF90:AF92 AF96:AF98 AF100:AF102 AF106:AF107 AF109:AF115">
    <cfRule type="containsText" dxfId="37" priority="34" operator="containsText" text="FALTA">
      <formula>NOT(ISERROR(SEARCH("FALTA",D38)))</formula>
    </cfRule>
  </conditionalFormatting>
  <conditionalFormatting sqref="AF45 D1:E180 AF47:AF49">
    <cfRule type="containsText" dxfId="36" priority="12" operator="containsText" text="OK">
      <formula>NOT(ISERROR(SEARCH("OK",D1)))</formula>
    </cfRule>
  </conditionalFormatting>
  <conditionalFormatting sqref="D150:E161 D114:D115 D119:E119">
    <cfRule type="containsText" dxfId="35" priority="11" operator="containsText" text="FALTA">
      <formula>NOT(ISERROR(SEARCH("FALTA",D114)))</formula>
    </cfRule>
  </conditionalFormatting>
  <conditionalFormatting sqref="E151 AF154:AF161">
    <cfRule type="containsText" dxfId="34" priority="1" operator="containsText" text="FALTA">
      <formula>NOT(ISERROR(SEARCH("FALTA",E151)))</formula>
    </cfRule>
    <cfRule type="containsText" dxfId="33" priority="2" operator="containsText" text="OK">
      <formula>NOT(ISERROR(SEARCH("OK",E151)))</formula>
    </cfRule>
  </conditionalFormatting>
  <conditionalFormatting sqref="AF1 E5 AF8:AF11 E9:E11 D10:E10 E16:E17 AF16:AF19 E19 AF26 AF30 AF34:AF38 AF40:AF43 AF50:AF58 E55:E57 E60 AF60:AF62 E62 AF65:AF72 AF119 AF135:AF173 D136:E136 E137:E140 D138:E138 D140:E149 E157 D158:E158 D162:E162 AF175:AF177">
    <cfRule type="containsText" dxfId="32" priority="46" operator="containsText" text="OK">
      <formula>NOT(ISERROR(SEARCH("OK",D1)))</formula>
    </cfRule>
  </conditionalFormatting>
  <conditionalFormatting sqref="AF38 D41:E42 D52:E52 AF52 D54:E54 D66:E66 AF84:AF85 D90:E90 AF90:AF92 D92:E92 D95:E98 AF96:AF98 AF100:AF102 AF106:AF107 AF109:AF115 D110:E110 D117:E120 D122:E122 D124:E127 D131:E132">
    <cfRule type="containsText" dxfId="31" priority="35" operator="containsText" text="OK">
      <formula>NOT(ISERROR(SEARCH("OK",D38)))</formula>
    </cfRule>
  </conditionalFormatting>
  <conditionalFormatting sqref="AF117:AF127">
    <cfRule type="containsText" dxfId="30" priority="32" operator="containsText" text="FALTA">
      <formula>NOT(ISERROR(SEARCH("FALTA",AF117)))</formula>
    </cfRule>
    <cfRule type="containsText" dxfId="29" priority="33" operator="containsText" text="OK">
      <formula>NOT(ISERROR(SEARCH("OK",AF117)))</formula>
    </cfRule>
  </conditionalFormatting>
  <conditionalFormatting sqref="AF119 AF156:AF161 AF5:AF6 AF74:AF77 AF79:AF80">
    <cfRule type="containsText" dxfId="28" priority="65" operator="containsText" text="FALTA">
      <formula>NOT(ISERROR(SEARCH("FALTA",AF5)))</formula>
    </cfRule>
  </conditionalFormatting>
  <conditionalFormatting sqref="AF5:AF6 AF74:AF77 AF79:AF80 AF119 AF156:AF161">
    <cfRule type="containsText" dxfId="27" priority="66" operator="containsText" text="OK">
      <formula>NOT(ISERROR(SEARCH("OK",AF5)))</formula>
    </cfRule>
  </conditionalFormatting>
  <conditionalFormatting sqref="F1:T176 V9:AD176 F177:M178 O177:S178 F179:T215 F231:T233 F277:T1048576">
    <cfRule type="containsText" dxfId="26" priority="41" operator="containsText" text="F">
      <formula>NOT(ISERROR(SEARCH("F",F1)))</formula>
    </cfRule>
  </conditionalFormatting>
  <conditionalFormatting sqref="F1:T176 V9:AD176 F177:M178 O177:S178 F231:T233 F277:T1048576 F179:T215">
    <cfRule type="containsText" dxfId="25" priority="40" operator="containsText" text="P">
      <formula>NOT(ISERROR(SEARCH("P",F1)))</formula>
    </cfRule>
  </conditionalFormatting>
  <conditionalFormatting sqref="F146:T149 V146:AD149">
    <cfRule type="containsText" dxfId="24" priority="3" operator="containsText" text="NA">
      <formula>NOT(ISERROR(SEARCH("NA",F146)))</formula>
    </cfRule>
    <cfRule type="containsText" dxfId="23" priority="4" operator="containsText" text="P">
      <formula>NOT(ISERROR(SEARCH("P",F146)))</formula>
    </cfRule>
    <cfRule type="containsText" dxfId="22" priority="5" operator="containsText" text="F">
      <formula>NOT(ISERROR(SEARCH("F",F146)))</formula>
    </cfRule>
  </conditionalFormatting>
  <conditionalFormatting sqref="U2">
    <cfRule type="containsText" dxfId="21" priority="47" operator="containsText" text="FALTA">
      <formula>NOT(ISERROR(SEARCH("FALTA",U2)))</formula>
    </cfRule>
    <cfRule type="containsText" dxfId="20" priority="48" operator="containsText" text="OK">
      <formula>NOT(ISERROR(SEARCH("OK",U2)))</formula>
    </cfRule>
  </conditionalFormatting>
  <conditionalFormatting sqref="V137:W138">
    <cfRule type="containsText" dxfId="19" priority="6" operator="containsText" text="P">
      <formula>NOT(ISERROR(SEARCH("P",V137)))</formula>
    </cfRule>
    <cfRule type="containsText" dxfId="18" priority="7" operator="containsText" text="F">
      <formula>NOT(ISERROR(SEARCH("F",V137)))</formula>
    </cfRule>
  </conditionalFormatting>
  <conditionalFormatting sqref="V98:AC98">
    <cfRule type="containsText" dxfId="17" priority="24" operator="containsText" text="NA">
      <formula>NOT(ISERROR(SEARCH("NA",V98)))</formula>
    </cfRule>
    <cfRule type="containsText" dxfId="16" priority="25" operator="containsText" text="P">
      <formula>NOT(ISERROR(SEARCH("P",V98)))</formula>
    </cfRule>
    <cfRule type="containsText" dxfId="15" priority="26" operator="containsText" text="F">
      <formula>NOT(ISERROR(SEARCH("F",V98)))</formula>
    </cfRule>
  </conditionalFormatting>
  <conditionalFormatting sqref="V1:AD1 V2:AC2 V177:AB178 AD177:AD178 F179:T215 V179:AD215 V231:AD233 V277:AD1048576">
    <cfRule type="containsText" dxfId="14" priority="29" operator="containsText" text="NA">
      <formula>NOT(ISERROR(SEARCH("NA",F1)))</formula>
    </cfRule>
  </conditionalFormatting>
  <conditionalFormatting sqref="V1:AD1 V2:AC2 V177:AB178 AD177:AD178 V179:AD215 V231:AD233 V277:AD1048576 V136:AD136 V3:AD8 V157:AD162">
    <cfRule type="containsText" dxfId="13" priority="30" operator="containsText" text="P">
      <formula>NOT(ISERROR(SEARCH("P",V1)))</formula>
    </cfRule>
  </conditionalFormatting>
  <conditionalFormatting sqref="V1:AD1 V2:AC2 V3:AD8 V136:AD136 V157:AD162 V177:AB178 AD177:AD178 V179:AD215 V231:AD233 V277:AD1048576">
    <cfRule type="containsText" dxfId="12" priority="31" operator="containsText" text="F">
      <formula>NOT(ISERROR(SEARCH("F",V1)))</formula>
    </cfRule>
  </conditionalFormatting>
  <conditionalFormatting sqref="V3:AD176 F1:T176 F177:M178 O177:S178 F231:T233 F277:T1048576">
    <cfRule type="containsText" dxfId="11" priority="39" operator="containsText" text="NA">
      <formula>NOT(ISERROR(SEARCH("NA",F1)))</formula>
    </cfRule>
  </conditionalFormatting>
  <conditionalFormatting sqref="V136:AD140">
    <cfRule type="containsText" dxfId="10" priority="8" operator="containsText" text="NA">
      <formula>NOT(ISERROR(SEARCH("NA",V136)))</formula>
    </cfRule>
  </conditionalFormatting>
  <conditionalFormatting sqref="AD2">
    <cfRule type="containsText" dxfId="9" priority="27" operator="containsText" text="FALTA">
      <formula>NOT(ISERROR(SEARCH("FALTA",AD2)))</formula>
    </cfRule>
    <cfRule type="containsText" dxfId="8" priority="28" operator="containsText" text="OK">
      <formula>NOT(ISERROR(SEARCH("OK",AD2)))</formula>
    </cfRule>
  </conditionalFormatting>
  <conditionalFormatting sqref="AF23 D111 AF160:AF161">
    <cfRule type="containsText" dxfId="7" priority="14" operator="containsText" text="OK">
      <formula>NOT(ISERROR(SEARCH("OK",D23)))</formula>
    </cfRule>
  </conditionalFormatting>
  <conditionalFormatting sqref="AF136 AG138">
    <cfRule type="containsText" dxfId="6" priority="9" operator="containsText" text="FALTA">
      <formula>NOT(ISERROR(SEARCH("FALTA",AF136)))</formula>
    </cfRule>
    <cfRule type="containsText" dxfId="5" priority="10" operator="containsText" text="OK">
      <formula>NOT(ISERROR(SEARCH("OK",AF136)))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2"/>
  <sheetViews>
    <sheetView zoomScale="85" zoomScaleNormal="85" workbookViewId="0">
      <pane xSplit="5" ySplit="1" topLeftCell="L2" activePane="bottomRight" state="frozen"/>
      <selection pane="topRight" activeCell="F1" sqref="F1"/>
      <selection pane="bottomLeft" activeCell="A2" sqref="A2"/>
      <selection pane="bottomRight" activeCell="A38" sqref="A38"/>
    </sheetView>
  </sheetViews>
  <sheetFormatPr defaultColWidth="9.140625" defaultRowHeight="13.5" x14ac:dyDescent="0.25"/>
  <cols>
    <col min="1" max="1" width="42.42578125" style="2" customWidth="1"/>
    <col min="2" max="2" width="13.85546875" style="2" bestFit="1" customWidth="1"/>
    <col min="3" max="3" width="11.85546875" style="6" customWidth="1"/>
    <col min="4" max="4" width="11" style="24" bestFit="1" customWidth="1"/>
    <col min="5" max="5" width="17.5703125" style="24" customWidth="1"/>
    <col min="6" max="6" width="15.28515625" style="2" customWidth="1"/>
    <col min="7" max="7" width="16.140625" style="2" customWidth="1"/>
    <col min="8" max="8" width="19.5703125" style="2" customWidth="1"/>
    <col min="9" max="9" width="20.42578125" style="2" customWidth="1"/>
    <col min="10" max="10" width="15.5703125" style="2" customWidth="1"/>
    <col min="11" max="11" width="24.28515625" style="2" customWidth="1"/>
    <col min="12" max="12" width="16.5703125" style="2" customWidth="1"/>
    <col min="13" max="13" width="22.7109375" style="2" customWidth="1"/>
    <col min="14" max="14" width="27.5703125" style="2" customWidth="1"/>
    <col min="15" max="15" width="10.42578125" style="2" customWidth="1"/>
    <col min="16" max="24" width="12.42578125" style="6" customWidth="1"/>
    <col min="25" max="16384" width="9.140625" style="70"/>
  </cols>
  <sheetData>
    <row r="1" spans="1:24" s="69" customFormat="1" x14ac:dyDescent="0.25">
      <c r="A1" s="4" t="s">
        <v>0</v>
      </c>
      <c r="B1" s="4" t="s">
        <v>1</v>
      </c>
      <c r="C1" s="4" t="s">
        <v>2</v>
      </c>
      <c r="D1" s="23" t="s">
        <v>3</v>
      </c>
      <c r="E1" s="23" t="s">
        <v>208</v>
      </c>
      <c r="F1" s="5" t="s">
        <v>153</v>
      </c>
      <c r="G1" s="5" t="s">
        <v>154</v>
      </c>
      <c r="H1" s="5" t="s">
        <v>155</v>
      </c>
      <c r="I1" s="5" t="s">
        <v>156</v>
      </c>
      <c r="J1" s="5" t="s">
        <v>157</v>
      </c>
      <c r="K1" s="5" t="s">
        <v>158</v>
      </c>
      <c r="L1" s="5" t="s">
        <v>159</v>
      </c>
      <c r="M1" s="5" t="s">
        <v>160</v>
      </c>
      <c r="N1" s="5" t="s">
        <v>161</v>
      </c>
      <c r="O1" s="5" t="s">
        <v>162</v>
      </c>
      <c r="P1" s="71">
        <v>45685</v>
      </c>
      <c r="Q1" s="20">
        <v>45687</v>
      </c>
      <c r="R1" s="20">
        <v>45692</v>
      </c>
      <c r="S1" s="20">
        <v>45694</v>
      </c>
      <c r="T1" s="20">
        <v>45699</v>
      </c>
      <c r="U1" s="20">
        <v>45701</v>
      </c>
      <c r="V1" s="20">
        <v>45706</v>
      </c>
      <c r="W1" s="20">
        <v>45708</v>
      </c>
      <c r="X1" s="20" t="s">
        <v>165</v>
      </c>
    </row>
    <row r="2" spans="1:24" ht="15" x14ac:dyDescent="0.25">
      <c r="A2" t="s">
        <v>263</v>
      </c>
      <c r="B2" s="21"/>
      <c r="C2" s="6" t="s">
        <v>264</v>
      </c>
      <c r="D2" s="6" t="s">
        <v>20</v>
      </c>
      <c r="E2" s="24" t="s">
        <v>265</v>
      </c>
      <c r="F2" s="3"/>
      <c r="G2" s="3"/>
      <c r="H2" s="3"/>
      <c r="I2" s="3"/>
      <c r="J2" s="3"/>
      <c r="K2" s="3"/>
      <c r="L2" s="3"/>
      <c r="M2" s="3"/>
      <c r="N2" s="3"/>
      <c r="O2" s="3"/>
      <c r="P2" s="72" t="s">
        <v>16</v>
      </c>
      <c r="Q2" s="43" t="s">
        <v>9</v>
      </c>
      <c r="R2" s="43" t="s">
        <v>9</v>
      </c>
      <c r="S2" s="43" t="s">
        <v>9</v>
      </c>
      <c r="T2" s="43" t="s">
        <v>9</v>
      </c>
      <c r="U2" s="43" t="s">
        <v>9</v>
      </c>
      <c r="V2" s="43"/>
      <c r="W2" s="43"/>
      <c r="X2" s="30">
        <f>COUNTIF(P2:W2,"P")</f>
        <v>5</v>
      </c>
    </row>
    <row r="3" spans="1:24" ht="15" x14ac:dyDescent="0.25">
      <c r="A3" t="s">
        <v>266</v>
      </c>
      <c r="B3" s="21"/>
      <c r="C3" s="6" t="s">
        <v>264</v>
      </c>
      <c r="D3" s="6" t="s">
        <v>20</v>
      </c>
      <c r="E3" s="24" t="s">
        <v>265</v>
      </c>
      <c r="F3" s="3"/>
      <c r="G3" s="3"/>
      <c r="H3" s="3"/>
      <c r="I3" s="3"/>
      <c r="J3" s="3"/>
      <c r="K3" s="3"/>
      <c r="L3" s="3"/>
      <c r="M3" s="3"/>
      <c r="N3" s="3"/>
      <c r="O3" s="3"/>
      <c r="P3" s="72" t="s">
        <v>9</v>
      </c>
      <c r="Q3" s="43" t="s">
        <v>9</v>
      </c>
      <c r="R3" s="43" t="s">
        <v>9</v>
      </c>
      <c r="S3" s="43" t="s">
        <v>9</v>
      </c>
      <c r="T3" s="43" t="s">
        <v>9</v>
      </c>
      <c r="U3" s="43" t="s">
        <v>9</v>
      </c>
      <c r="V3" s="43"/>
      <c r="W3" s="43"/>
      <c r="X3" s="30">
        <f t="shared" ref="X3:X33" si="0">COUNTIF(P3:W3,"P")</f>
        <v>6</v>
      </c>
    </row>
    <row r="4" spans="1:24" ht="15" x14ac:dyDescent="0.25">
      <c r="A4" t="s">
        <v>267</v>
      </c>
      <c r="B4" s="21"/>
      <c r="C4" s="6" t="s">
        <v>264</v>
      </c>
      <c r="D4" s="6" t="s">
        <v>20</v>
      </c>
      <c r="E4" s="24" t="s">
        <v>265</v>
      </c>
      <c r="F4" s="3"/>
      <c r="G4" s="3"/>
      <c r="H4" s="3"/>
      <c r="I4" s="3"/>
      <c r="J4" s="3"/>
      <c r="K4" s="3"/>
      <c r="L4" s="3"/>
      <c r="M4" s="3"/>
      <c r="N4" s="3"/>
      <c r="O4" s="3"/>
      <c r="P4" s="72" t="s">
        <v>9</v>
      </c>
      <c r="Q4" s="81" t="s">
        <v>16</v>
      </c>
      <c r="R4" s="81" t="s">
        <v>16</v>
      </c>
      <c r="S4" s="81" t="s">
        <v>16</v>
      </c>
      <c r="T4" s="43" t="s">
        <v>9</v>
      </c>
      <c r="U4" s="43" t="s">
        <v>9</v>
      </c>
      <c r="V4" s="43"/>
      <c r="W4" s="43"/>
      <c r="X4" s="30">
        <f t="shared" si="0"/>
        <v>3</v>
      </c>
    </row>
    <row r="5" spans="1:24" ht="15" x14ac:dyDescent="0.25">
      <c r="A5" t="s">
        <v>268</v>
      </c>
      <c r="B5" s="21"/>
      <c r="C5" s="6" t="s">
        <v>264</v>
      </c>
      <c r="D5" s="6" t="s">
        <v>20</v>
      </c>
      <c r="E5" s="24" t="s">
        <v>265</v>
      </c>
      <c r="F5" s="3"/>
      <c r="G5" s="3"/>
      <c r="H5" s="3"/>
      <c r="I5" s="3"/>
      <c r="J5" s="3"/>
      <c r="K5" s="3"/>
      <c r="L5" s="3"/>
      <c r="M5" s="3"/>
      <c r="N5" s="3"/>
      <c r="O5" s="3"/>
      <c r="P5" s="72" t="s">
        <v>34</v>
      </c>
      <c r="Q5" s="43" t="s">
        <v>9</v>
      </c>
      <c r="R5" s="81" t="s">
        <v>16</v>
      </c>
      <c r="S5" s="81" t="s">
        <v>16</v>
      </c>
      <c r="T5" s="43" t="s">
        <v>9</v>
      </c>
      <c r="U5" s="43" t="s">
        <v>9</v>
      </c>
      <c r="V5" s="43"/>
      <c r="W5" s="43"/>
      <c r="X5" s="30">
        <f t="shared" si="0"/>
        <v>3</v>
      </c>
    </row>
    <row r="6" spans="1:24" ht="15" x14ac:dyDescent="0.25">
      <c r="A6" t="s">
        <v>269</v>
      </c>
      <c r="B6" s="21"/>
      <c r="C6" s="6" t="s">
        <v>264</v>
      </c>
      <c r="D6" s="6" t="s">
        <v>20</v>
      </c>
      <c r="E6" s="24" t="s">
        <v>265</v>
      </c>
      <c r="F6" s="3"/>
      <c r="G6" s="3"/>
      <c r="H6" s="3"/>
      <c r="I6" s="3"/>
      <c r="J6" s="3"/>
      <c r="K6" s="3"/>
      <c r="L6" s="3"/>
      <c r="M6" s="3"/>
      <c r="N6" s="3"/>
      <c r="O6" s="3"/>
      <c r="P6" s="80" t="s">
        <v>16</v>
      </c>
      <c r="Q6" s="81" t="s">
        <v>16</v>
      </c>
      <c r="R6" s="81" t="s">
        <v>16</v>
      </c>
      <c r="S6" s="81" t="s">
        <v>16</v>
      </c>
      <c r="T6" s="81" t="s">
        <v>16</v>
      </c>
      <c r="U6" s="81" t="s">
        <v>16</v>
      </c>
      <c r="V6" s="43"/>
      <c r="W6" s="43"/>
      <c r="X6" s="30">
        <f t="shared" si="0"/>
        <v>0</v>
      </c>
    </row>
    <row r="7" spans="1:24" ht="15" x14ac:dyDescent="0.25">
      <c r="A7" t="s">
        <v>270</v>
      </c>
      <c r="B7" s="21"/>
      <c r="C7" s="6" t="s">
        <v>264</v>
      </c>
      <c r="D7" s="6" t="s">
        <v>20</v>
      </c>
      <c r="E7" s="24" t="s">
        <v>265</v>
      </c>
      <c r="F7" s="3"/>
      <c r="G7" s="3"/>
      <c r="H7" s="3"/>
      <c r="I7" s="3"/>
      <c r="J7" s="3"/>
      <c r="K7" s="3"/>
      <c r="L7" s="3"/>
      <c r="M7" s="3"/>
      <c r="N7" s="3"/>
      <c r="O7" s="3"/>
      <c r="P7" s="72" t="s">
        <v>9</v>
      </c>
      <c r="Q7" s="43" t="s">
        <v>9</v>
      </c>
      <c r="R7" s="81" t="s">
        <v>16</v>
      </c>
      <c r="S7" s="81" t="s">
        <v>16</v>
      </c>
      <c r="T7" s="81" t="s">
        <v>16</v>
      </c>
      <c r="U7" s="81" t="s">
        <v>16</v>
      </c>
      <c r="V7" s="43"/>
      <c r="W7" s="43"/>
      <c r="X7" s="30">
        <f t="shared" si="0"/>
        <v>2</v>
      </c>
    </row>
    <row r="8" spans="1:24" ht="15" x14ac:dyDescent="0.25">
      <c r="A8" t="s">
        <v>271</v>
      </c>
      <c r="B8" s="21"/>
      <c r="C8" s="6" t="s">
        <v>264</v>
      </c>
      <c r="D8" s="6" t="s">
        <v>20</v>
      </c>
      <c r="E8" s="24" t="s">
        <v>265</v>
      </c>
      <c r="F8" s="3"/>
      <c r="G8" s="3"/>
      <c r="H8" s="3"/>
      <c r="I8" s="3"/>
      <c r="J8" s="3"/>
      <c r="K8" s="3"/>
      <c r="L8" s="3"/>
      <c r="M8" s="3"/>
      <c r="N8" s="3"/>
      <c r="O8" s="3"/>
      <c r="P8" s="72" t="s">
        <v>9</v>
      </c>
      <c r="Q8" s="43" t="s">
        <v>9</v>
      </c>
      <c r="R8" s="43" t="s">
        <v>9</v>
      </c>
      <c r="S8" s="43" t="s">
        <v>9</v>
      </c>
      <c r="T8" s="43" t="s">
        <v>16</v>
      </c>
      <c r="U8" s="43" t="s">
        <v>9</v>
      </c>
      <c r="V8" s="43"/>
      <c r="W8" s="43"/>
      <c r="X8" s="30">
        <f t="shared" si="0"/>
        <v>5</v>
      </c>
    </row>
    <row r="9" spans="1:24" ht="15" x14ac:dyDescent="0.25">
      <c r="A9" t="s">
        <v>272</v>
      </c>
      <c r="B9" s="21"/>
      <c r="C9" s="6" t="s">
        <v>264</v>
      </c>
      <c r="D9" s="6" t="s">
        <v>20</v>
      </c>
      <c r="E9" s="24" t="s">
        <v>265</v>
      </c>
      <c r="F9" s="3"/>
      <c r="G9" s="3"/>
      <c r="H9" s="3"/>
      <c r="I9" s="3"/>
      <c r="J9" s="3"/>
      <c r="K9" s="3"/>
      <c r="L9" s="3"/>
      <c r="M9" s="3"/>
      <c r="N9" s="3"/>
      <c r="O9" s="3"/>
      <c r="P9" s="72" t="s">
        <v>9</v>
      </c>
      <c r="Q9" s="43" t="s">
        <v>16</v>
      </c>
      <c r="R9" s="43" t="s">
        <v>16</v>
      </c>
      <c r="S9" s="43" t="s">
        <v>9</v>
      </c>
      <c r="T9" s="43" t="s">
        <v>16</v>
      </c>
      <c r="U9" s="43" t="s">
        <v>9</v>
      </c>
      <c r="V9" s="43"/>
      <c r="W9" s="43"/>
      <c r="X9" s="30">
        <f t="shared" si="0"/>
        <v>3</v>
      </c>
    </row>
    <row r="10" spans="1:24" ht="15" x14ac:dyDescent="0.25">
      <c r="A10" t="s">
        <v>273</v>
      </c>
      <c r="B10" s="21"/>
      <c r="C10" s="6" t="s">
        <v>264</v>
      </c>
      <c r="D10" s="6" t="s">
        <v>20</v>
      </c>
      <c r="E10" s="24" t="s">
        <v>265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72" t="s">
        <v>16</v>
      </c>
      <c r="Q10" s="43" t="s">
        <v>9</v>
      </c>
      <c r="R10" s="43" t="s">
        <v>9</v>
      </c>
      <c r="S10" s="43" t="s">
        <v>16</v>
      </c>
      <c r="T10" s="43" t="s">
        <v>9</v>
      </c>
      <c r="U10" s="43" t="s">
        <v>9</v>
      </c>
      <c r="V10" s="43"/>
      <c r="W10" s="43"/>
      <c r="X10" s="30">
        <f t="shared" si="0"/>
        <v>4</v>
      </c>
    </row>
    <row r="11" spans="1:24" ht="15" x14ac:dyDescent="0.25">
      <c r="A11" t="s">
        <v>274</v>
      </c>
      <c r="B11" s="21"/>
      <c r="C11" s="6" t="s">
        <v>264</v>
      </c>
      <c r="D11" s="6" t="s">
        <v>20</v>
      </c>
      <c r="E11" s="24" t="s">
        <v>265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72" t="s">
        <v>9</v>
      </c>
      <c r="Q11" s="43" t="s">
        <v>9</v>
      </c>
      <c r="R11" s="43" t="s">
        <v>9</v>
      </c>
      <c r="S11" s="43" t="s">
        <v>9</v>
      </c>
      <c r="T11" s="43" t="s">
        <v>9</v>
      </c>
      <c r="U11" s="43" t="s">
        <v>9</v>
      </c>
      <c r="V11" s="43"/>
      <c r="W11" s="43"/>
      <c r="X11" s="30">
        <f t="shared" si="0"/>
        <v>6</v>
      </c>
    </row>
    <row r="12" spans="1:24" ht="15" x14ac:dyDescent="0.25">
      <c r="A12" t="s">
        <v>275</v>
      </c>
      <c r="B12" s="21"/>
      <c r="C12" s="6" t="s">
        <v>264</v>
      </c>
      <c r="D12" s="6" t="s">
        <v>20</v>
      </c>
      <c r="E12" s="24" t="s">
        <v>265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72" t="s">
        <v>9</v>
      </c>
      <c r="Q12" s="43" t="s">
        <v>16</v>
      </c>
      <c r="R12" s="43" t="s">
        <v>9</v>
      </c>
      <c r="S12" s="43" t="s">
        <v>9</v>
      </c>
      <c r="T12" s="43" t="s">
        <v>9</v>
      </c>
      <c r="U12" s="43" t="s">
        <v>9</v>
      </c>
      <c r="V12" s="43"/>
      <c r="W12" s="43"/>
      <c r="X12" s="30">
        <f t="shared" si="0"/>
        <v>5</v>
      </c>
    </row>
    <row r="13" spans="1:24" ht="15" x14ac:dyDescent="0.25">
      <c r="A13" t="s">
        <v>276</v>
      </c>
      <c r="B13" s="21"/>
      <c r="C13" s="6" t="s">
        <v>264</v>
      </c>
      <c r="D13" s="6" t="s">
        <v>20</v>
      </c>
      <c r="E13" s="24" t="s">
        <v>265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72" t="s">
        <v>16</v>
      </c>
      <c r="Q13" s="43" t="s">
        <v>9</v>
      </c>
      <c r="R13" s="43" t="s">
        <v>9</v>
      </c>
      <c r="S13" s="43" t="s">
        <v>9</v>
      </c>
      <c r="T13" s="43" t="s">
        <v>9</v>
      </c>
      <c r="U13" s="43" t="s">
        <v>9</v>
      </c>
      <c r="V13" s="43"/>
      <c r="W13" s="43"/>
      <c r="X13" s="30">
        <f t="shared" si="0"/>
        <v>5</v>
      </c>
    </row>
    <row r="14" spans="1:24" ht="15" x14ac:dyDescent="0.25">
      <c r="A14" t="s">
        <v>277</v>
      </c>
      <c r="B14" s="21"/>
      <c r="C14" s="6" t="s">
        <v>264</v>
      </c>
      <c r="D14" s="6" t="s">
        <v>20</v>
      </c>
      <c r="E14" s="24" t="s">
        <v>265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72" t="s">
        <v>9</v>
      </c>
      <c r="Q14" s="43" t="s">
        <v>16</v>
      </c>
      <c r="R14" s="43" t="s">
        <v>9</v>
      </c>
      <c r="S14" s="43" t="s">
        <v>16</v>
      </c>
      <c r="T14" s="43" t="s">
        <v>9</v>
      </c>
      <c r="U14" s="43" t="s">
        <v>9</v>
      </c>
      <c r="V14" s="43"/>
      <c r="W14" s="43"/>
      <c r="X14" s="30">
        <f t="shared" si="0"/>
        <v>4</v>
      </c>
    </row>
    <row r="15" spans="1:24" ht="15" x14ac:dyDescent="0.25">
      <c r="A15" t="s">
        <v>278</v>
      </c>
      <c r="B15" s="21"/>
      <c r="C15" s="6" t="s">
        <v>264</v>
      </c>
      <c r="D15" s="6" t="s">
        <v>20</v>
      </c>
      <c r="E15" s="24" t="s">
        <v>265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72" t="s">
        <v>9</v>
      </c>
      <c r="Q15" s="43" t="s">
        <v>9</v>
      </c>
      <c r="R15" s="43" t="s">
        <v>9</v>
      </c>
      <c r="S15" s="43" t="s">
        <v>9</v>
      </c>
      <c r="T15" s="43" t="s">
        <v>16</v>
      </c>
      <c r="U15" s="43" t="s">
        <v>9</v>
      </c>
      <c r="V15" s="43"/>
      <c r="W15" s="43"/>
      <c r="X15" s="30">
        <f t="shared" si="0"/>
        <v>5</v>
      </c>
    </row>
    <row r="16" spans="1:24" ht="15" x14ac:dyDescent="0.25">
      <c r="A16" t="s">
        <v>279</v>
      </c>
      <c r="B16" s="21"/>
      <c r="C16" s="6" t="s">
        <v>264</v>
      </c>
      <c r="D16" s="6" t="s">
        <v>20</v>
      </c>
      <c r="E16" s="24" t="s">
        <v>265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80" t="s">
        <v>16</v>
      </c>
      <c r="Q16" s="81" t="s">
        <v>16</v>
      </c>
      <c r="R16" s="81" t="s">
        <v>16</v>
      </c>
      <c r="S16" s="81" t="s">
        <v>16</v>
      </c>
      <c r="T16" s="81" t="s">
        <v>16</v>
      </c>
      <c r="U16" s="81" t="s">
        <v>16</v>
      </c>
      <c r="V16" s="43"/>
      <c r="W16" s="43"/>
      <c r="X16" s="30">
        <f t="shared" si="0"/>
        <v>0</v>
      </c>
    </row>
    <row r="17" spans="1:24" ht="15" x14ac:dyDescent="0.25">
      <c r="A17" t="s">
        <v>280</v>
      </c>
      <c r="B17" s="21"/>
      <c r="C17" s="6" t="s">
        <v>264</v>
      </c>
      <c r="D17" s="6" t="s">
        <v>20</v>
      </c>
      <c r="E17" s="24" t="s">
        <v>265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80" t="s">
        <v>16</v>
      </c>
      <c r="Q17" s="81" t="s">
        <v>16</v>
      </c>
      <c r="R17" s="81" t="s">
        <v>16</v>
      </c>
      <c r="S17" s="81" t="s">
        <v>16</v>
      </c>
      <c r="T17" s="81" t="s">
        <v>16</v>
      </c>
      <c r="U17" s="81" t="s">
        <v>16</v>
      </c>
      <c r="V17" s="43"/>
      <c r="W17" s="43"/>
      <c r="X17" s="30">
        <f t="shared" si="0"/>
        <v>0</v>
      </c>
    </row>
    <row r="18" spans="1:24" ht="15" x14ac:dyDescent="0.25">
      <c r="A18" t="s">
        <v>281</v>
      </c>
      <c r="B18" s="21"/>
      <c r="C18" s="6" t="s">
        <v>264</v>
      </c>
      <c r="D18" s="6" t="s">
        <v>20</v>
      </c>
      <c r="E18" s="24" t="s">
        <v>265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72" t="s">
        <v>16</v>
      </c>
      <c r="Q18" s="43" t="s">
        <v>9</v>
      </c>
      <c r="R18" s="43" t="s">
        <v>9</v>
      </c>
      <c r="S18" s="43" t="s">
        <v>9</v>
      </c>
      <c r="T18" s="43" t="s">
        <v>9</v>
      </c>
      <c r="U18" s="43" t="s">
        <v>9</v>
      </c>
      <c r="V18" s="43"/>
      <c r="W18" s="43"/>
      <c r="X18" s="30">
        <f t="shared" si="0"/>
        <v>5</v>
      </c>
    </row>
    <row r="19" spans="1:24" ht="15" x14ac:dyDescent="0.25">
      <c r="A19" t="s">
        <v>282</v>
      </c>
      <c r="B19" s="21"/>
      <c r="C19" s="6" t="s">
        <v>264</v>
      </c>
      <c r="D19" s="6" t="s">
        <v>20</v>
      </c>
      <c r="E19" s="24" t="s">
        <v>265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72" t="s">
        <v>16</v>
      </c>
      <c r="Q19" s="43" t="s">
        <v>9</v>
      </c>
      <c r="R19" s="43" t="s">
        <v>9</v>
      </c>
      <c r="S19" s="43" t="s">
        <v>9</v>
      </c>
      <c r="T19" s="43" t="s">
        <v>16</v>
      </c>
      <c r="U19" s="43" t="s">
        <v>9</v>
      </c>
      <c r="V19" s="43"/>
      <c r="W19" s="43"/>
      <c r="X19" s="30">
        <f t="shared" si="0"/>
        <v>4</v>
      </c>
    </row>
    <row r="20" spans="1:24" ht="15" x14ac:dyDescent="0.25">
      <c r="A20" t="s">
        <v>283</v>
      </c>
      <c r="B20" s="21"/>
      <c r="C20" s="6" t="s">
        <v>264</v>
      </c>
      <c r="D20" s="6" t="s">
        <v>20</v>
      </c>
      <c r="E20" s="24" t="s">
        <v>265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72" t="s">
        <v>9</v>
      </c>
      <c r="Q20" s="43" t="s">
        <v>9</v>
      </c>
      <c r="R20" s="43" t="s">
        <v>9</v>
      </c>
      <c r="S20" s="43" t="s">
        <v>16</v>
      </c>
      <c r="T20" s="43" t="s">
        <v>9</v>
      </c>
      <c r="U20" s="43" t="s">
        <v>16</v>
      </c>
      <c r="V20" s="43"/>
      <c r="W20" s="43"/>
      <c r="X20" s="30">
        <f t="shared" si="0"/>
        <v>4</v>
      </c>
    </row>
    <row r="21" spans="1:24" ht="15" x14ac:dyDescent="0.25">
      <c r="A21" t="s">
        <v>284</v>
      </c>
      <c r="B21" s="21"/>
      <c r="C21" s="6" t="s">
        <v>264</v>
      </c>
      <c r="D21" s="6" t="s">
        <v>20</v>
      </c>
      <c r="E21" s="24" t="s">
        <v>265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80" t="s">
        <v>16</v>
      </c>
      <c r="Q21" s="81" t="s">
        <v>16</v>
      </c>
      <c r="R21" s="81" t="s">
        <v>16</v>
      </c>
      <c r="S21" s="81" t="s">
        <v>16</v>
      </c>
      <c r="T21" s="81" t="s">
        <v>16</v>
      </c>
      <c r="U21" s="81" t="s">
        <v>16</v>
      </c>
      <c r="V21" s="43"/>
      <c r="W21" s="43"/>
      <c r="X21" s="30">
        <f t="shared" si="0"/>
        <v>0</v>
      </c>
    </row>
    <row r="22" spans="1:24" ht="15" x14ac:dyDescent="0.25">
      <c r="A22" t="s">
        <v>285</v>
      </c>
      <c r="B22" s="21"/>
      <c r="C22" s="6" t="s">
        <v>264</v>
      </c>
      <c r="D22" s="6" t="s">
        <v>20</v>
      </c>
      <c r="E22" s="24" t="s">
        <v>265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72" t="s">
        <v>16</v>
      </c>
      <c r="Q22" s="43" t="s">
        <v>9</v>
      </c>
      <c r="R22" s="43" t="s">
        <v>16</v>
      </c>
      <c r="S22" s="43" t="s">
        <v>23</v>
      </c>
      <c r="T22" s="43" t="s">
        <v>23</v>
      </c>
      <c r="U22" s="43" t="s">
        <v>16</v>
      </c>
      <c r="V22" s="43"/>
      <c r="W22" s="43"/>
      <c r="X22" s="30">
        <f t="shared" si="0"/>
        <v>1</v>
      </c>
    </row>
    <row r="23" spans="1:24" ht="15" x14ac:dyDescent="0.25">
      <c r="A23" t="s">
        <v>286</v>
      </c>
      <c r="B23" s="21"/>
      <c r="C23" s="6" t="s">
        <v>264</v>
      </c>
      <c r="D23" s="6" t="s">
        <v>20</v>
      </c>
      <c r="E23" s="24" t="s">
        <v>265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72" t="s">
        <v>16</v>
      </c>
      <c r="Q23" s="43" t="s">
        <v>16</v>
      </c>
      <c r="R23" s="43" t="s">
        <v>9</v>
      </c>
      <c r="S23" s="43" t="s">
        <v>16</v>
      </c>
      <c r="T23" s="81" t="s">
        <v>16</v>
      </c>
      <c r="U23" s="81" t="s">
        <v>16</v>
      </c>
      <c r="V23" s="43"/>
      <c r="W23" s="43"/>
      <c r="X23" s="30">
        <f t="shared" si="0"/>
        <v>1</v>
      </c>
    </row>
    <row r="24" spans="1:24" ht="15" x14ac:dyDescent="0.25">
      <c r="A24" t="s">
        <v>287</v>
      </c>
      <c r="B24" s="21"/>
      <c r="C24" s="6" t="s">
        <v>264</v>
      </c>
      <c r="D24" s="6" t="s">
        <v>20</v>
      </c>
      <c r="E24" s="24" t="s">
        <v>265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80" t="s">
        <v>16</v>
      </c>
      <c r="Q24" s="81" t="s">
        <v>16</v>
      </c>
      <c r="R24" s="81" t="s">
        <v>16</v>
      </c>
      <c r="S24" s="81" t="s">
        <v>16</v>
      </c>
      <c r="T24" s="81" t="s">
        <v>16</v>
      </c>
      <c r="U24" s="81" t="s">
        <v>16</v>
      </c>
      <c r="V24" s="43"/>
      <c r="W24" s="43"/>
      <c r="X24" s="30">
        <f t="shared" si="0"/>
        <v>0</v>
      </c>
    </row>
    <row r="25" spans="1:24" ht="15" x14ac:dyDescent="0.25">
      <c r="A25" t="s">
        <v>288</v>
      </c>
      <c r="B25" s="21"/>
      <c r="C25" s="6" t="s">
        <v>264</v>
      </c>
      <c r="D25" s="6" t="s">
        <v>20</v>
      </c>
      <c r="E25" s="24" t="s">
        <v>265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72" t="s">
        <v>16</v>
      </c>
      <c r="Q25" s="43" t="s">
        <v>9</v>
      </c>
      <c r="R25" s="43" t="s">
        <v>9</v>
      </c>
      <c r="S25" s="43" t="s">
        <v>9</v>
      </c>
      <c r="T25" s="43" t="s">
        <v>9</v>
      </c>
      <c r="U25" s="43" t="s">
        <v>9</v>
      </c>
      <c r="V25" s="43"/>
      <c r="W25" s="43"/>
      <c r="X25" s="30">
        <f t="shared" si="0"/>
        <v>5</v>
      </c>
    </row>
    <row r="26" spans="1:24" ht="15" x14ac:dyDescent="0.25">
      <c r="A26" t="s">
        <v>289</v>
      </c>
      <c r="B26" s="21"/>
      <c r="C26" s="6" t="s">
        <v>264</v>
      </c>
      <c r="D26" s="6" t="s">
        <v>20</v>
      </c>
      <c r="E26" s="24" t="s">
        <v>265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72" t="s">
        <v>9</v>
      </c>
      <c r="Q26" s="43" t="s">
        <v>9</v>
      </c>
      <c r="R26" s="43" t="s">
        <v>9</v>
      </c>
      <c r="S26" s="43" t="s">
        <v>9</v>
      </c>
      <c r="T26" s="43" t="s">
        <v>9</v>
      </c>
      <c r="U26" s="43" t="s">
        <v>9</v>
      </c>
      <c r="V26" s="43"/>
      <c r="W26" s="43"/>
      <c r="X26" s="30">
        <f t="shared" si="0"/>
        <v>6</v>
      </c>
    </row>
    <row r="27" spans="1:24" ht="15" x14ac:dyDescent="0.25">
      <c r="A27" t="s">
        <v>290</v>
      </c>
      <c r="B27" s="21"/>
      <c r="C27" s="6" t="s">
        <v>264</v>
      </c>
      <c r="D27" s="6" t="s">
        <v>20</v>
      </c>
      <c r="E27" s="24" t="s">
        <v>265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72" t="s">
        <v>9</v>
      </c>
      <c r="Q27" s="43" t="s">
        <v>9</v>
      </c>
      <c r="R27" s="43" t="s">
        <v>9</v>
      </c>
      <c r="S27" s="43" t="s">
        <v>9</v>
      </c>
      <c r="T27" s="43" t="s">
        <v>9</v>
      </c>
      <c r="U27" s="43" t="s">
        <v>16</v>
      </c>
      <c r="V27" s="43"/>
      <c r="W27" s="43"/>
      <c r="X27" s="30">
        <f t="shared" si="0"/>
        <v>5</v>
      </c>
    </row>
    <row r="28" spans="1:24" ht="15" x14ac:dyDescent="0.25">
      <c r="A28" t="s">
        <v>291</v>
      </c>
      <c r="B28" s="21"/>
      <c r="C28" s="6" t="s">
        <v>264</v>
      </c>
      <c r="D28" s="6" t="s">
        <v>20</v>
      </c>
      <c r="E28" s="24" t="s">
        <v>265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72" t="s">
        <v>9</v>
      </c>
      <c r="Q28" s="43" t="s">
        <v>9</v>
      </c>
      <c r="R28" s="43" t="s">
        <v>23</v>
      </c>
      <c r="S28" s="43" t="s">
        <v>9</v>
      </c>
      <c r="T28" s="43" t="s">
        <v>9</v>
      </c>
      <c r="U28" s="43" t="s">
        <v>9</v>
      </c>
      <c r="V28" s="43"/>
      <c r="W28" s="43"/>
      <c r="X28" s="30">
        <f t="shared" si="0"/>
        <v>5</v>
      </c>
    </row>
    <row r="29" spans="1:24" ht="15" x14ac:dyDescent="0.25">
      <c r="A29" t="s">
        <v>292</v>
      </c>
      <c r="B29" s="21"/>
      <c r="C29" s="6" t="s">
        <v>264</v>
      </c>
      <c r="D29" s="6" t="s">
        <v>20</v>
      </c>
      <c r="E29" s="24" t="s">
        <v>265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72" t="s">
        <v>9</v>
      </c>
      <c r="Q29" s="43" t="s">
        <v>16</v>
      </c>
      <c r="R29" s="43" t="s">
        <v>9</v>
      </c>
      <c r="S29" s="43" t="s">
        <v>9</v>
      </c>
      <c r="T29" s="43" t="s">
        <v>9</v>
      </c>
      <c r="U29" s="43" t="s">
        <v>9</v>
      </c>
      <c r="V29" s="43"/>
      <c r="W29" s="43"/>
      <c r="X29" s="30">
        <f t="shared" si="0"/>
        <v>5</v>
      </c>
    </row>
    <row r="30" spans="1:24" ht="15" x14ac:dyDescent="0.25">
      <c r="A30" t="s">
        <v>293</v>
      </c>
      <c r="B30" s="21"/>
      <c r="C30" s="6" t="s">
        <v>264</v>
      </c>
      <c r="D30" s="6" t="s">
        <v>20</v>
      </c>
      <c r="E30" s="24" t="s">
        <v>265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72" t="s">
        <v>9</v>
      </c>
      <c r="Q30" s="43" t="s">
        <v>9</v>
      </c>
      <c r="R30" s="43" t="s">
        <v>9</v>
      </c>
      <c r="S30" s="43" t="s">
        <v>9</v>
      </c>
      <c r="T30" s="43" t="s">
        <v>9</v>
      </c>
      <c r="U30" s="43" t="s">
        <v>9</v>
      </c>
      <c r="V30" s="43"/>
      <c r="W30" s="43"/>
      <c r="X30" s="30">
        <f t="shared" si="0"/>
        <v>6</v>
      </c>
    </row>
    <row r="31" spans="1:24" ht="15" x14ac:dyDescent="0.25">
      <c r="A31" t="s">
        <v>294</v>
      </c>
      <c r="B31" s="21"/>
      <c r="C31" s="6" t="s">
        <v>264</v>
      </c>
      <c r="D31" s="6" t="s">
        <v>20</v>
      </c>
      <c r="E31" s="24" t="s">
        <v>265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72" t="s">
        <v>16</v>
      </c>
      <c r="Q31" s="43" t="s">
        <v>9</v>
      </c>
      <c r="R31" s="43" t="s">
        <v>9</v>
      </c>
      <c r="S31" s="43" t="s">
        <v>16</v>
      </c>
      <c r="T31" s="81" t="s">
        <v>16</v>
      </c>
      <c r="U31" s="87" t="s">
        <v>16</v>
      </c>
      <c r="V31" s="43"/>
      <c r="W31" s="43"/>
      <c r="X31" s="30">
        <f t="shared" si="0"/>
        <v>2</v>
      </c>
    </row>
    <row r="32" spans="1:24" ht="15" x14ac:dyDescent="0.25">
      <c r="A32" t="s">
        <v>295</v>
      </c>
      <c r="B32" s="21"/>
      <c r="C32" s="6" t="s">
        <v>264</v>
      </c>
      <c r="D32" s="6" t="s">
        <v>20</v>
      </c>
      <c r="E32" s="24" t="s">
        <v>265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80" t="s">
        <v>16</v>
      </c>
      <c r="Q32" s="81" t="s">
        <v>16</v>
      </c>
      <c r="R32" s="81" t="s">
        <v>16</v>
      </c>
      <c r="S32" s="81" t="s">
        <v>16</v>
      </c>
      <c r="T32" s="81" t="s">
        <v>16</v>
      </c>
      <c r="U32" s="81" t="s">
        <v>16</v>
      </c>
      <c r="V32" s="43"/>
      <c r="W32" s="43"/>
      <c r="X32" s="30">
        <f t="shared" si="0"/>
        <v>0</v>
      </c>
    </row>
    <row r="33" spans="1:24" ht="15" x14ac:dyDescent="0.25">
      <c r="A33" t="s">
        <v>296</v>
      </c>
      <c r="B33" s="21"/>
      <c r="C33" s="6" t="s">
        <v>264</v>
      </c>
      <c r="D33" s="6" t="s">
        <v>20</v>
      </c>
      <c r="E33" s="24" t="s">
        <v>265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72" t="s">
        <v>9</v>
      </c>
      <c r="Q33" s="43" t="s">
        <v>16</v>
      </c>
      <c r="R33" s="43" t="s">
        <v>9</v>
      </c>
      <c r="S33" s="43" t="s">
        <v>16</v>
      </c>
      <c r="T33" s="43" t="s">
        <v>16</v>
      </c>
      <c r="U33" s="43" t="s">
        <v>9</v>
      </c>
      <c r="V33" s="43"/>
      <c r="W33" s="43"/>
      <c r="X33" s="30">
        <f t="shared" si="0"/>
        <v>3</v>
      </c>
    </row>
    <row r="34" spans="1:24" x14ac:dyDescent="0.25">
      <c r="B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72"/>
      <c r="Q34" s="43"/>
      <c r="R34" s="43"/>
      <c r="S34" s="43"/>
      <c r="T34" s="43"/>
      <c r="U34" s="83"/>
      <c r="V34" s="43"/>
      <c r="W34" s="43"/>
      <c r="X34" s="30"/>
    </row>
    <row r="35" spans="1:24" x14ac:dyDescent="0.25">
      <c r="B35" s="21"/>
      <c r="F35" s="3"/>
      <c r="G35" s="3"/>
      <c r="H35" s="3"/>
      <c r="I35" s="3"/>
      <c r="J35" s="3"/>
      <c r="K35" s="3"/>
      <c r="L35" s="3"/>
      <c r="M35" s="3"/>
      <c r="N35" s="3"/>
      <c r="O35" s="3"/>
      <c r="P35" s="72"/>
      <c r="Q35" s="43"/>
      <c r="R35" s="43"/>
      <c r="S35" s="43"/>
      <c r="T35" s="43"/>
      <c r="U35" s="43"/>
      <c r="V35" s="43"/>
      <c r="W35" s="43"/>
      <c r="X35" s="30"/>
    </row>
    <row r="36" spans="1:24" x14ac:dyDescent="0.25">
      <c r="B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72"/>
      <c r="Q36" s="43"/>
      <c r="R36" s="43"/>
      <c r="S36" s="43"/>
      <c r="T36" s="43"/>
      <c r="U36" s="43"/>
      <c r="V36" s="43"/>
      <c r="W36" s="43"/>
      <c r="X36" s="30"/>
    </row>
    <row r="37" spans="1:24" x14ac:dyDescent="0.25">
      <c r="B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72"/>
      <c r="Q37" s="43"/>
      <c r="R37" s="43"/>
      <c r="S37" s="43"/>
      <c r="T37" s="43"/>
      <c r="U37" s="43"/>
      <c r="V37" s="43"/>
      <c r="W37" s="43"/>
      <c r="X37" s="30"/>
    </row>
    <row r="38" spans="1:24" x14ac:dyDescent="0.25">
      <c r="B38" s="21"/>
      <c r="F38" s="6"/>
      <c r="G38" s="6"/>
      <c r="H38" s="6"/>
      <c r="I38" s="6"/>
      <c r="J38" s="6"/>
      <c r="K38" s="6"/>
      <c r="L38" s="6"/>
      <c r="M38" s="6"/>
      <c r="N38" s="6"/>
      <c r="O38" s="6"/>
      <c r="P38" s="73">
        <f>COUNTIF(P2:P37,"P")</f>
        <v>16</v>
      </c>
      <c r="Q38" s="73">
        <f t="shared" ref="Q38:W38" si="1">COUNTIF(Q2:Q37,"P")</f>
        <v>19</v>
      </c>
      <c r="R38" s="73">
        <f t="shared" si="1"/>
        <v>20</v>
      </c>
      <c r="S38" s="73">
        <f>COUNTIF(S2:S37,"P")</f>
        <v>16</v>
      </c>
      <c r="T38" s="73">
        <f t="shared" si="1"/>
        <v>17</v>
      </c>
      <c r="U38" s="73">
        <f t="shared" si="1"/>
        <v>20</v>
      </c>
      <c r="V38" s="73">
        <f t="shared" si="1"/>
        <v>0</v>
      </c>
      <c r="W38" s="73">
        <f t="shared" si="1"/>
        <v>0</v>
      </c>
      <c r="X38" s="4"/>
    </row>
    <row r="39" spans="1:24" x14ac:dyDescent="0.25">
      <c r="B39" s="21"/>
      <c r="F39" s="6"/>
      <c r="G39" s="6"/>
      <c r="H39" s="6"/>
      <c r="I39" s="6"/>
      <c r="J39" s="6"/>
      <c r="K39" s="6"/>
      <c r="L39" s="6"/>
      <c r="M39" s="6"/>
      <c r="N39" s="6"/>
      <c r="O39" s="6"/>
      <c r="V39" s="22"/>
      <c r="W39" s="31" t="s">
        <v>205</v>
      </c>
      <c r="X39" s="4">
        <f>COUNTA(A2:A37)</f>
        <v>32</v>
      </c>
    </row>
    <row r="40" spans="1:24" x14ac:dyDescent="0.25">
      <c r="B40" s="21"/>
      <c r="F40" s="6"/>
      <c r="G40" s="6"/>
      <c r="H40" s="6"/>
      <c r="I40" s="6"/>
      <c r="J40" s="6"/>
      <c r="K40" s="6"/>
      <c r="L40" s="6"/>
      <c r="M40" s="6"/>
      <c r="N40" s="6"/>
      <c r="O40" s="6"/>
      <c r="V40" s="22"/>
      <c r="W40" s="53" t="s">
        <v>206</v>
      </c>
      <c r="X40" s="4">
        <f>COUNTIF(X2:X37,"0")</f>
        <v>6</v>
      </c>
    </row>
    <row r="41" spans="1:24" x14ac:dyDescent="0.25">
      <c r="B41" s="21"/>
      <c r="F41" s="6"/>
      <c r="G41" s="6"/>
      <c r="H41" s="6"/>
      <c r="I41" s="6"/>
      <c r="J41" s="6"/>
      <c r="K41" s="6"/>
      <c r="L41" s="6"/>
      <c r="M41" s="6"/>
      <c r="N41" s="6"/>
      <c r="O41" s="6"/>
      <c r="V41" s="22"/>
      <c r="W41" s="54" t="s">
        <v>207</v>
      </c>
      <c r="X41" s="4">
        <f>X39-X40</f>
        <v>26</v>
      </c>
    </row>
    <row r="42" spans="1:24" x14ac:dyDescent="0.25">
      <c r="B42" s="21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24" x14ac:dyDescent="0.25">
      <c r="B43" s="21"/>
      <c r="F43" s="6"/>
      <c r="G43" s="6"/>
      <c r="H43" s="6"/>
      <c r="I43" s="6"/>
      <c r="J43" s="6"/>
      <c r="K43" s="6"/>
      <c r="L43" s="6"/>
      <c r="M43" s="6"/>
      <c r="N43" s="6"/>
      <c r="O43" s="6"/>
      <c r="P43" s="43"/>
      <c r="Q43" s="43"/>
      <c r="R43" s="43"/>
      <c r="S43" s="43"/>
      <c r="T43" s="43"/>
      <c r="U43" s="43"/>
      <c r="V43" s="43"/>
      <c r="W43" s="43"/>
    </row>
    <row r="72" spans="1:1" ht="15" x14ac:dyDescent="0.25">
      <c r="A72" s="52"/>
    </row>
  </sheetData>
  <autoFilter ref="A1:X33" xr:uid="{00000000-0009-0000-0000-000003000000}"/>
  <conditionalFormatting sqref="D1:O1 E2:O33 F34:O36 D34:E43 F38:J40 L38:O40 K38:K43">
    <cfRule type="containsText" dxfId="4" priority="30" operator="containsText" text="FALTA">
      <formula>NOT(ISERROR(SEARCH("FALTA",D1)))</formula>
    </cfRule>
    <cfRule type="containsText" dxfId="3" priority="31" operator="containsText" text="OK">
      <formula>NOT(ISERROR(SEARCH("OK",D1)))</formula>
    </cfRule>
  </conditionalFormatting>
  <conditionalFormatting sqref="P1:X39 P40:V41 X40:X41 P42:X78 P94:X96 P140:X1048576">
    <cfRule type="containsText" dxfId="2" priority="20" operator="containsText" text="NA">
      <formula>NOT(ISERROR(SEARCH("NA",P1)))</formula>
    </cfRule>
    <cfRule type="containsText" dxfId="1" priority="21" operator="containsText" text="P">
      <formula>NOT(ISERROR(SEARCH("P",P1)))</formula>
    </cfRule>
    <cfRule type="containsText" dxfId="0" priority="22" operator="containsText" text="F">
      <formula>NOT(ISERROR(SEARCH("F",P1)))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CD726FC705C74B8711AB5153D820F5" ma:contentTypeVersion="15" ma:contentTypeDescription="Crie um novo documento." ma:contentTypeScope="" ma:versionID="507b26b2c3045375600ad2fbf3d50028">
  <xsd:schema xmlns:xsd="http://www.w3.org/2001/XMLSchema" xmlns:xs="http://www.w3.org/2001/XMLSchema" xmlns:p="http://schemas.microsoft.com/office/2006/metadata/properties" xmlns:ns2="7693e261-a4f4-4d2e-95c7-1669d67a0989" xmlns:ns3="1cb9788e-8c8b-45ef-9815-13e9714e9481" targetNamespace="http://schemas.microsoft.com/office/2006/metadata/properties" ma:root="true" ma:fieldsID="1f966255a79d62ddcad7de2c9382167f" ns2:_="" ns3:_="">
    <xsd:import namespace="7693e261-a4f4-4d2e-95c7-1669d67a0989"/>
    <xsd:import namespace="1cb9788e-8c8b-45ef-9815-13e9714e9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3e261-a4f4-4d2e-95c7-1669d67a0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11943d2-5db1-4e7d-91fa-a19434db2f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9788e-8c8b-45ef-9815-13e9714e948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c8deb23-143d-44fe-ba03-fdf630440f9e}" ma:internalName="TaxCatchAll" ma:showField="CatchAllData" ma:web="1cb9788e-8c8b-45ef-9815-13e9714e9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93e261-a4f4-4d2e-95c7-1669d67a0989">
      <Terms xmlns="http://schemas.microsoft.com/office/infopath/2007/PartnerControls"/>
    </lcf76f155ced4ddcb4097134ff3c332f>
    <TaxCatchAll xmlns="1cb9788e-8c8b-45ef-9815-13e9714e9481" xsi:nil="true"/>
  </documentManagement>
</p:properties>
</file>

<file path=customXml/itemProps1.xml><?xml version="1.0" encoding="utf-8"?>
<ds:datastoreItem xmlns:ds="http://schemas.openxmlformats.org/officeDocument/2006/customXml" ds:itemID="{312B6BC4-0FAC-471B-9D9F-F127D6A960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93e261-a4f4-4d2e-95c7-1669d67a0989"/>
    <ds:schemaRef ds:uri="1cb9788e-8c8b-45ef-9815-13e9714e9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D1891C-88E4-4C6F-BEF9-AF70EE401A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DD0C9B-BDB6-4B9D-9310-E6AC5A7DCD51}">
  <ds:schemaRefs>
    <ds:schemaRef ds:uri="http://schemas.microsoft.com/office/2006/metadata/properties"/>
    <ds:schemaRef ds:uri="http://schemas.microsoft.com/office/infopath/2007/PartnerControls"/>
    <ds:schemaRef ds:uri="7693e261-a4f4-4d2e-95c7-1669d67a0989"/>
    <ds:schemaRef ds:uri="1cb9788e-8c8b-45ef-9815-13e9714e94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Presençasaa</vt:lpstr>
      <vt:lpstr>Gerals</vt:lpstr>
      <vt:lpstr>Controle ITEVA</vt:lpstr>
      <vt:lpstr>Controle Santo Antonio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Lima</dc:creator>
  <cp:keywords/>
  <dc:description/>
  <cp:lastModifiedBy>Anderson Pires</cp:lastModifiedBy>
  <cp:revision/>
  <dcterms:created xsi:type="dcterms:W3CDTF">2025-01-14T11:49:34Z</dcterms:created>
  <dcterms:modified xsi:type="dcterms:W3CDTF">2025-02-19T04:20:08Z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0x010100F4CD726FC705C74B8711AB5153D820F5</vt:lpwstr>
  </property>
  <property fmtid="{D5CDD505-2E9C-101B-9397-08002B2CF9AE}" pid="3" name="MediaServiceImageTags">
    <vt:lpwstr/>
  </property>
</Properties>
</file>